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NTRADAS PMO" sheetId="2" state="visible" r:id="rId4"/>
    <sheet name="VENDAS" sheetId="3" state="visible" r:id="rId5"/>
    <sheet name="PATROCINIOS" sheetId="4" state="visible" r:id="rId6"/>
    <sheet name="CUSTOS" sheetId="5" state="visible" r:id="rId7"/>
    <sheet name="Cenarios" sheetId="6" state="visible" r:id="rId8"/>
    <sheet name="ORÇAMENTO x REAL" sheetId="7" state="visible" r:id="rId9"/>
    <sheet name="FLUXO DE CAIXA" sheetId="8" state="visible" r:id="rId10"/>
    <sheet name="BREAK-EVEN" sheetId="9" state="visible" r:id="rId11"/>
    <sheet name="SENSIBILIDADE" sheetId="10" state="visible" r:id="rId12"/>
    <sheet name="RISCOS" sheetId="11" state="visible" r:id="rId13"/>
    <sheet name="GATES PMO" sheetId="12" state="visible" r:id="rId14"/>
    <sheet name="FORECAST" sheetId="13" state="visible" r:id="rId15"/>
    <sheet name="COMPARATIVO" sheetId="14" state="visible" r:id="rId16"/>
    <sheet name="SCORE VIABILIDADE" sheetId="15" state="visible" r:id="rId17"/>
    <sheet name="COMO ALIMENTAR" sheetId="16" state="visible" r:id="rId18"/>
    <sheet name="Font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4" authorId="0">
      <text>
        <r>
          <rPr>
            <sz val="10"/>
            <rFont val="Arial"/>
            <family val="2"/>
          </rPr>
          <t xml:space="preserve">Preencha com a data real de abertura das vendas.</t>
        </r>
      </text>
    </comment>
    <comment ref="A46" authorId="0">
      <text>
        <r>
          <rPr>
            <sz val="10"/>
            <rFont val="Arial"/>
            <family val="2"/>
          </rPr>
          <t xml:space="preserve">Data prevista do evento — usada em todo o modelo (fluxo de caixa, forecast, gates).</t>
        </r>
      </text>
    </comment>
  </commentList>
</comments>
</file>

<file path=xl/sharedStrings.xml><?xml version="1.0" encoding="utf-8"?>
<sst xmlns="http://schemas.openxmlformats.org/spreadsheetml/2006/main" count="1095" uniqueCount="647">
  <si>
    <t xml:space="preserve">PIQUINZADA 2027 | DASHBOARD EXECUTIVO PMO</t>
  </si>
  <si>
    <t xml:space="preserve">Atualizado automaticamente a partir de ENTRADAS PMO, VENDAS, PATROCINIOS e CUSTOS.</t>
  </si>
  <si>
    <t xml:space="preserve">CENÁRIO CONSERVADOR</t>
  </si>
  <si>
    <t xml:space="preserve">CENÁRIO BASE</t>
  </si>
  <si>
    <t xml:space="preserve">CENÁRIO AGRESSIVO</t>
  </si>
  <si>
    <t xml:space="preserve">Receita total</t>
  </si>
  <si>
    <t xml:space="preserve">  ↳ Receita de ingressos</t>
  </si>
  <si>
    <t xml:space="preserve">  ↳ Receita de patrocínio</t>
  </si>
  <si>
    <t xml:space="preserve">  ↳ Receita de consumo/ativações</t>
  </si>
  <si>
    <t xml:space="preserve">Custo total</t>
  </si>
  <si>
    <t xml:space="preserve">RESULTADO (lucro/prejuízo)</t>
  </si>
  <si>
    <t xml:space="preserve">Margem líquida</t>
  </si>
  <si>
    <t xml:space="preserve">Quantidade de pagantes</t>
  </si>
  <si>
    <t xml:space="preserve">Capacidade utilizada</t>
  </si>
  <si>
    <t xml:space="preserve">Ticket médio</t>
  </si>
  <si>
    <t xml:space="preserve">Ponto de equilíbrio (pagantes)</t>
  </si>
  <si>
    <t xml:space="preserve">% capacidade necessário p/ break-even</t>
  </si>
  <si>
    <t xml:space="preserve">Receita por participante</t>
  </si>
  <si>
    <t xml:space="preserve">Custo por participante</t>
  </si>
  <si>
    <t xml:space="preserve">Patrocínio necessário (mín. p/ cachê)</t>
  </si>
  <si>
    <t xml:space="preserve">Patrocínio já considerado no cenário</t>
  </si>
  <si>
    <t xml:space="preserve">Cobertura do cachê pelo patrocínio</t>
  </si>
  <si>
    <t xml:space="preserve">Margem de segurança financeira</t>
  </si>
  <si>
    <t xml:space="preserve">STATUS</t>
  </si>
  <si>
    <t xml:space="preserve">CLASSIFICAÇÃO</t>
  </si>
  <si>
    <t xml:space="preserve">KPIs EXECUTIVOS (cenário Base / realizado)</t>
  </si>
  <si>
    <t xml:space="preserve">Receita projetada (Base)</t>
  </si>
  <si>
    <t xml:space="preserve">Receita contratada (patrocínio assinado)</t>
  </si>
  <si>
    <t xml:space="preserve">Custo projetado (Base / BAC)</t>
  </si>
  <si>
    <t xml:space="preserve">Custo contratado</t>
  </si>
  <si>
    <t xml:space="preserve">Resultado projetado (Base)</t>
  </si>
  <si>
    <t xml:space="preserve">Margem (Base)</t>
  </si>
  <si>
    <t xml:space="preserve">Break-even (ingressos, Base)</t>
  </si>
  <si>
    <t xml:space="preserve">Ingressos vendidos até hoje</t>
  </si>
  <si>
    <t xml:space="preserve">Ingressos restantes (meta Base)</t>
  </si>
  <si>
    <t xml:space="preserve">Ocupação (Base)</t>
  </si>
  <si>
    <t xml:space="preserve">Ticket médio (Base)</t>
  </si>
  <si>
    <t xml:space="preserve">Patrocínio contratado</t>
  </si>
  <si>
    <t xml:space="preserve">Patrocínio pipeline</t>
  </si>
  <si>
    <t xml:space="preserve">Cobertura de patrocínio (esperado/cachê)</t>
  </si>
  <si>
    <t xml:space="preserve">Capital de giro necessário (Base)</t>
  </si>
  <si>
    <t xml:space="preserve">Contingência disponível</t>
  </si>
  <si>
    <t xml:space="preserve">Exposição financeira (custo − patrocínio contratado)</t>
  </si>
  <si>
    <t xml:space="preserve">Forecast final do resultado</t>
  </si>
  <si>
    <t xml:space="preserve">INDICADORES DE VENDA</t>
  </si>
  <si>
    <t xml:space="preserve">Data atual</t>
  </si>
  <si>
    <t xml:space="preserve">Data do evento</t>
  </si>
  <si>
    <t xml:space="preserve">Dias restantes até o evento</t>
  </si>
  <si>
    <t xml:space="preserve">Ingressos vendidos</t>
  </si>
  <si>
    <t xml:space="preserve">% vendido da capacidade Base</t>
  </si>
  <si>
    <t xml:space="preserve">Gap para a meta (Base)</t>
  </si>
  <si>
    <t xml:space="preserve">Velocidade média de vendas (ingressos/dia)</t>
  </si>
  <si>
    <t xml:space="preserve">Venda diária necessária até o evento</t>
  </si>
  <si>
    <t xml:space="preserve">Projeção de público final (ritmo atual)</t>
  </si>
  <si>
    <t xml:space="preserve">RECOMENDAÇÃO PMO (atualiza automaticamente)</t>
  </si>
  <si>
    <t xml:space="preserve">STATUS DO PROJETO</t>
  </si>
  <si>
    <t xml:space="preserve">Resultado Base</t>
  </si>
  <si>
    <t xml:space="preserve">Margem</t>
  </si>
  <si>
    <t xml:space="preserve">Break-even (ingressos)</t>
  </si>
  <si>
    <t xml:space="preserve">Patrocínio mínimo adicional necessário</t>
  </si>
  <si>
    <t xml:space="preserve">Score de viabilidade</t>
  </si>
  <si>
    <t xml:space="preserve">Maior risco atual (maior score, não encerrado)</t>
  </si>
  <si>
    <t xml:space="preserve">Ação prioritária</t>
  </si>
  <si>
    <t xml:space="preserve">PIQUINZADA 2027 | ENTRADAS PMO — PREMISSAS DOS 3 CENÁRIOS</t>
  </si>
  <si>
    <t xml:space="preserve">Fonte única de dados (Single Source of Truth). Preencha apenas as células AZUIS. As células CINZAS são calculadas automaticamente.</t>
  </si>
  <si>
    <t xml:space="preserve">Bloco</t>
  </si>
  <si>
    <t xml:space="preserve">Item</t>
  </si>
  <si>
    <t xml:space="preserve">CONSERVADOR</t>
  </si>
  <si>
    <t xml:space="preserve">BASE</t>
  </si>
  <si>
    <t xml:space="preserve">AGRESSIVO</t>
  </si>
  <si>
    <t xml:space="preserve">Observação / Unidade</t>
  </si>
  <si>
    <t xml:space="preserve">EVENTO</t>
  </si>
  <si>
    <t xml:space="preserve">Capacidade máxima do evento</t>
  </si>
  <si>
    <t xml:space="preserve">Público físico máximo suportado pelo espaço/estrutura</t>
  </si>
  <si>
    <t xml:space="preserve">Número de cortesias</t>
  </si>
  <si>
    <t xml:space="preserve">Convidados, staff, imprensa, permutas (não pagantes)</t>
  </si>
  <si>
    <t xml:space="preserve">Ingressos vendidos (pagantes)</t>
  </si>
  <si>
    <t xml:space="preserve">Total vendido no plano de lotes (aba VENDAS)</t>
  </si>
  <si>
    <t xml:space="preserve">Público total (pagantes + cortesias)</t>
  </si>
  <si>
    <t xml:space="preserve">% Ocupação da capacidade</t>
  </si>
  <si>
    <t xml:space="preserve">INGRESSOS (resumo — detalhe por lote na aba VENDAS)</t>
  </si>
  <si>
    <t xml:space="preserve">Taxa da plataforma de venda (%)</t>
  </si>
  <si>
    <t xml:space="preserve">% sobre a receita bruta de ingressos</t>
  </si>
  <si>
    <t xml:space="preserve">Taxa de cartão / meios de pagamento (%)</t>
  </si>
  <si>
    <t xml:space="preserve">Tributos incidentes sobre ingressos (%)</t>
  </si>
  <si>
    <t xml:space="preserve">Ajustar conforme regime tributário do evento</t>
  </si>
  <si>
    <t xml:space="preserve">Ticket médio realizado</t>
  </si>
  <si>
    <t xml:space="preserve">Receita bruta de ingressos</t>
  </si>
  <si>
    <t xml:space="preserve">Receita líquida de ingressos</t>
  </si>
  <si>
    <t xml:space="preserve">PATROCÍNIOS (resumo — detalhe por cota na aba PATROCINIOS)</t>
  </si>
  <si>
    <t xml:space="preserve">Número de cotas comerciais</t>
  </si>
  <si>
    <t xml:space="preserve">Patrocínio contratado (assinado)</t>
  </si>
  <si>
    <t xml:space="preserve">Patrocínio em negociação/pipeline</t>
  </si>
  <si>
    <t xml:space="preserve">Patrocínio esperado (ponderado por probabilidade)</t>
  </si>
  <si>
    <t xml:space="preserve">Cobertura do cachê da atração pelo patrocínio esperado</t>
  </si>
  <si>
    <t xml:space="preserve">CONSUMO / BAR / ATIVAÇÕES</t>
  </si>
  <si>
    <t xml:space="preserve">Consumo médio bruto por pessoa</t>
  </si>
  <si>
    <t xml:space="preserve">Ticket médio de bar/ativações por participante</t>
  </si>
  <si>
    <t xml:space="preserve">Custo operacional do consumo (% da receita bruta)</t>
  </si>
  <si>
    <t xml:space="preserve">Custo de mercadoria, equipe e operação do bar/ativações</t>
  </si>
  <si>
    <t xml:space="preserve">Margem líquida por pessoa</t>
  </si>
  <si>
    <t xml:space="preserve">Receita bruta de consumo/ativações</t>
  </si>
  <si>
    <t xml:space="preserve">Custo operacional de consumo/ativações</t>
  </si>
  <si>
    <t xml:space="preserve">Receita líquida de consumo/ativações</t>
  </si>
  <si>
    <t xml:space="preserve">OUTRAS RECEITAS</t>
  </si>
  <si>
    <t xml:space="preserve">Outras receitas (merchandising, permutas ativas, etc.)</t>
  </si>
  <si>
    <t xml:space="preserve">Receitas não classificadas acima</t>
  </si>
  <si>
    <t xml:space="preserve">ATRAÇÕES</t>
  </si>
  <si>
    <t xml:space="preserve">Cachê atração principal</t>
  </si>
  <si>
    <t xml:space="preserve">Cachês das atrações de apoio</t>
  </si>
  <si>
    <t xml:space="preserve">DJs</t>
  </si>
  <si>
    <t xml:space="preserve">Banda de abertura</t>
  </si>
  <si>
    <t xml:space="preserve">Participações especiais</t>
  </si>
  <si>
    <t xml:space="preserve">Subtotal Atrações</t>
  </si>
  <si>
    <t xml:space="preserve">ESTRUTURA</t>
  </si>
  <si>
    <t xml:space="preserve">Palco</t>
  </si>
  <si>
    <t xml:space="preserve">Som</t>
  </si>
  <si>
    <t xml:space="preserve">Iluminação</t>
  </si>
  <si>
    <t xml:space="preserve">Painel de LED</t>
  </si>
  <si>
    <t xml:space="preserve">Gerador</t>
  </si>
  <si>
    <t xml:space="preserve">Banheiros químicos</t>
  </si>
  <si>
    <t xml:space="preserve">Gradil / contenção</t>
  </si>
  <si>
    <t xml:space="preserve">Tendas</t>
  </si>
  <si>
    <t xml:space="preserve">Mobiliário</t>
  </si>
  <si>
    <t xml:space="preserve">Estrutura de camarote</t>
  </si>
  <si>
    <t xml:space="preserve">Decoração</t>
  </si>
  <si>
    <t xml:space="preserve">Subtotal Estrutura</t>
  </si>
  <si>
    <t xml:space="preserve">OPERAÇÃO</t>
  </si>
  <si>
    <t xml:space="preserve">Segurança</t>
  </si>
  <si>
    <t xml:space="preserve">Brigadistas</t>
  </si>
  <si>
    <t xml:space="preserve">Bombeiro civil</t>
  </si>
  <si>
    <t xml:space="preserve">Ambulância / SAMU privado</t>
  </si>
  <si>
    <t xml:space="preserve">Limpeza</t>
  </si>
  <si>
    <t xml:space="preserve">Recepção / credenciamento</t>
  </si>
  <si>
    <t xml:space="preserve">Produção geral</t>
  </si>
  <si>
    <t xml:space="preserve">Equipe de apoio</t>
  </si>
  <si>
    <t xml:space="preserve">Licenças e alvarás</t>
  </si>
  <si>
    <t xml:space="preserve">ECAD</t>
  </si>
  <si>
    <t xml:space="preserve">Seguro do evento</t>
  </si>
  <si>
    <t xml:space="preserve">Subtotal Operação</t>
  </si>
  <si>
    <t xml:space="preserve">MARKETING</t>
  </si>
  <si>
    <t xml:space="preserve">Tráfego pago</t>
  </si>
  <si>
    <t xml:space="preserve">Influenciadores</t>
  </si>
  <si>
    <t xml:space="preserve">Designer</t>
  </si>
  <si>
    <t xml:space="preserve">Fotografia</t>
  </si>
  <si>
    <t xml:space="preserve">Filmagem</t>
  </si>
  <si>
    <t xml:space="preserve">Assessoria de imprensa</t>
  </si>
  <si>
    <t xml:space="preserve">Mídia (rádio/OOH)</t>
  </si>
  <si>
    <t xml:space="preserve">Impressos</t>
  </si>
  <si>
    <t xml:space="preserve">Comunicação visual</t>
  </si>
  <si>
    <t xml:space="preserve">Subtotal Marketing</t>
  </si>
  <si>
    <t xml:space="preserve">LOGÍSTICA</t>
  </si>
  <si>
    <t xml:space="preserve">Transporte</t>
  </si>
  <si>
    <t xml:space="preserve">Passagens</t>
  </si>
  <si>
    <t xml:space="preserve">Hospedagem</t>
  </si>
  <si>
    <t xml:space="preserve">Alimentação</t>
  </si>
  <si>
    <t xml:space="preserve">Camarim</t>
  </si>
  <si>
    <t xml:space="preserve">Transfers</t>
  </si>
  <si>
    <t xml:space="preserve">Subtotal Logística</t>
  </si>
  <si>
    <t xml:space="preserve">OUTROS</t>
  </si>
  <si>
    <t xml:space="preserve">Tributos sobre a receita total (%)</t>
  </si>
  <si>
    <t xml:space="preserve">Taxas bancárias (%)</t>
  </si>
  <si>
    <t xml:space="preserve">Comissões sobre vendas (%)</t>
  </si>
  <si>
    <t xml:space="preserve">Despesas administrativas</t>
  </si>
  <si>
    <t xml:space="preserve">Reserva de contingência (%)</t>
  </si>
  <si>
    <t xml:space="preserve">% sobre os custos diretos antes da contingência</t>
  </si>
  <si>
    <t xml:space="preserve">TOTAIS DE CUSTO</t>
  </si>
  <si>
    <t xml:space="preserve">Custos diretos (Atrações+Estrutura+Operação+Marketing+Logística+Administrativo)</t>
  </si>
  <si>
    <t xml:space="preserve">Tributos + taxas bancárias + comissões (valor sobre a receita total)</t>
  </si>
  <si>
    <t xml:space="preserve">Base de cálculo da contingência</t>
  </si>
  <si>
    <t xml:space="preserve">Contingência (valor)</t>
  </si>
  <si>
    <t xml:space="preserve">CUSTO TOTAL DO CENÁRIO</t>
  </si>
  <si>
    <t xml:space="preserve">PIQUINZADA 2027 | VENDAS — PLANO DE LOTES E ACOMPANHAMENTO</t>
  </si>
  <si>
    <t xml:space="preserve">Fonte única dos dados de ingressos. Preencha a quantidade e o preço de cada lote em cada cenário.</t>
  </si>
  <si>
    <t xml:space="preserve">Lote</t>
  </si>
  <si>
    <t xml:space="preserve">Preço (R$)</t>
  </si>
  <si>
    <t xml:space="preserve">Qtd. planejada</t>
  </si>
  <si>
    <t xml:space="preserve">% mix</t>
  </si>
  <si>
    <t xml:space="preserve">Receita bruta</t>
  </si>
  <si>
    <t xml:space="preserve">Taxa plataforma</t>
  </si>
  <si>
    <t xml:space="preserve">Taxa cartão</t>
  </si>
  <si>
    <t xml:space="preserve">Tributos</t>
  </si>
  <si>
    <t xml:space="preserve">Receita líquida</t>
  </si>
  <si>
    <t xml:space="preserve">Conversão acum. capacidade</t>
  </si>
  <si>
    <t xml:space="preserve">Pré-venda</t>
  </si>
  <si>
    <t xml:space="preserve">1º lote</t>
  </si>
  <si>
    <t xml:space="preserve">2º lote</t>
  </si>
  <si>
    <t xml:space="preserve">3º lote</t>
  </si>
  <si>
    <t xml:space="preserve">Último lote</t>
  </si>
  <si>
    <t xml:space="preserve">Ingressos planejados (pagantes)</t>
  </si>
  <si>
    <t xml:space="preserve">Ticket médio planejado</t>
  </si>
  <si>
    <t xml:space="preserve">Receita bruta planejada</t>
  </si>
  <si>
    <t xml:space="preserve">Receita líquida planejada</t>
  </si>
  <si>
    <t xml:space="preserve">ACOMPANHAMENTO DE VENDAS REALIZADO (indicadores de venda)</t>
  </si>
  <si>
    <t xml:space="preserve">Data de início das vendas</t>
  </si>
  <si>
    <t xml:space="preserve">Ingressos disponíveis (capacidade Base - vendidos)</t>
  </si>
  <si>
    <t xml:space="preserve">Receita realizada até hoje (ticket médio Base)</t>
  </si>
  <si>
    <t xml:space="preserve">Meta de vendas (cenário Base)</t>
  </si>
  <si>
    <t xml:space="preserve">Gap para a meta</t>
  </si>
  <si>
    <t xml:space="preserve">Dias decorridos desde o início das vendas</t>
  </si>
  <si>
    <t xml:space="preserve">Velocidade média de vendas realizada (ingressos/dia)</t>
  </si>
  <si>
    <t xml:space="preserve">PIQUINZADA 2027 | PATROCÍNIOS — PIPELINE COMERCIAL</t>
  </si>
  <si>
    <t xml:space="preserve">Fonte única dos dados de patrocínio. Estágio define a probabilidade de fechamento automaticamente (tabela abaixo é editável).</t>
  </si>
  <si>
    <t xml:space="preserve">PROBABILIDADE PADRÃO POR ESTÁGIO (editável)</t>
  </si>
  <si>
    <t xml:space="preserve">Estágio</t>
  </si>
  <si>
    <t xml:space="preserve">Probabilidade</t>
  </si>
  <si>
    <t xml:space="preserve">Contratado</t>
  </si>
  <si>
    <t xml:space="preserve">Proposta Enviada</t>
  </si>
  <si>
    <t xml:space="preserve">Negociação</t>
  </si>
  <si>
    <t xml:space="preserve">Prospecção</t>
  </si>
  <si>
    <t xml:space="preserve">Cota</t>
  </si>
  <si>
    <t xml:space="preserve">Valor unitário</t>
  </si>
  <si>
    <t xml:space="preserve">Qtd. alvo</t>
  </si>
  <si>
    <t xml:space="preserve">Receita alvo</t>
  </si>
  <si>
    <t xml:space="preserve">Receita ponderada</t>
  </si>
  <si>
    <t xml:space="preserve">Contrapartida-chave</t>
  </si>
  <si>
    <t xml:space="preserve">Perfil de patrocinador</t>
  </si>
  <si>
    <t xml:space="preserve">Naming / Apresenta</t>
  </si>
  <si>
    <t xml:space="preserve">Marca no nome do evento + palco + mídia principal</t>
  </si>
  <si>
    <t xml:space="preserve">Banco, bebida, varejo, telecom</t>
  </si>
  <si>
    <t xml:space="preserve">Master</t>
  </si>
  <si>
    <t xml:space="preserve">Alta exposição + ativações + camarote</t>
  </si>
  <si>
    <t xml:space="preserve">Bebidas, varejo, construção</t>
  </si>
  <si>
    <t xml:space="preserve">Ouro</t>
  </si>
  <si>
    <t xml:space="preserve">Logo premium + ativações + conteúdo</t>
  </si>
  <si>
    <t xml:space="preserve">Empresas regionais e nacionais</t>
  </si>
  <si>
    <t xml:space="preserve">Prata</t>
  </si>
  <si>
    <t xml:space="preserve">Logo + espaço de ativação</t>
  </si>
  <si>
    <t xml:space="preserve">Comércio e serviços</t>
  </si>
  <si>
    <t xml:space="preserve">Apoio</t>
  </si>
  <si>
    <t xml:space="preserve">Logo em peças selecionadas</t>
  </si>
  <si>
    <t xml:space="preserve">Parceiros locais</t>
  </si>
  <si>
    <t xml:space="preserve">Nº de cotas comerciais</t>
  </si>
  <si>
    <t xml:space="preserve">Receita ponderada pela probabilidade (esperado)</t>
  </si>
  <si>
    <t xml:space="preserve">PIQUINZADA 2027 | CUSTOS — REGISTRO PMO (BASELINE = CENÁRIO BASE)</t>
  </si>
  <si>
    <t xml:space="preserve">Cada linha puxa o Orçamento inicial da aba ENTRADAS PMO (coluna Base). Preencha apenas as colunas azuis conforme a contratação evolui.</t>
  </si>
  <si>
    <t xml:space="preserve">Categoria (Grupo)</t>
  </si>
  <si>
    <t xml:space="preserve">Subcategoria</t>
  </si>
  <si>
    <t xml:space="preserve">Fornecedor</t>
  </si>
  <si>
    <t xml:space="preserve">Descrição</t>
  </si>
  <si>
    <t xml:space="preserve">Orçamento inicial</t>
  </si>
  <si>
    <t xml:space="preserve">Orçamento aprovado</t>
  </si>
  <si>
    <t xml:space="preserve">Valor contratado</t>
  </si>
  <si>
    <t xml:space="preserve">Valor pago</t>
  </si>
  <si>
    <t xml:space="preserve">Saldo a pagar</t>
  </si>
  <si>
    <t xml:space="preserve">Data prevista</t>
  </si>
  <si>
    <t xml:space="preserve">Data pagamento</t>
  </si>
  <si>
    <t xml:space="preserve">Status</t>
  </si>
  <si>
    <t xml:space="preserve">Responsável</t>
  </si>
  <si>
    <t xml:space="preserve">Observação</t>
  </si>
  <si>
    <t xml:space="preserve">EAC do item</t>
  </si>
  <si>
    <t xml:space="preserve">Atrações</t>
  </si>
  <si>
    <t xml:space="preserve">DJ Marcelinho / Assessoria Ltda.</t>
  </si>
  <si>
    <t xml:space="preserve">2027-06-01</t>
  </si>
  <si>
    <t xml:space="preserve">Comercial</t>
  </si>
  <si>
    <t xml:space="preserve">Não iniciado</t>
  </si>
  <si>
    <t xml:space="preserve">Estrutura</t>
  </si>
  <si>
    <t xml:space="preserve">Em cotação</t>
  </si>
  <si>
    <t xml:space="preserve">Produção</t>
  </si>
  <si>
    <t xml:space="preserve">Licenças</t>
  </si>
  <si>
    <t xml:space="preserve">Marketing</t>
  </si>
  <si>
    <t xml:space="preserve">Logística</t>
  </si>
  <si>
    <t xml:space="preserve">Administrativo</t>
  </si>
  <si>
    <t xml:space="preserve">Financeiro</t>
  </si>
  <si>
    <t xml:space="preserve">Tributos, taxas bancárias e comissões (sobre a receita)</t>
  </si>
  <si>
    <t xml:space="preserve">Contingência</t>
  </si>
  <si>
    <t xml:space="preserve">Reserva de contingência</t>
  </si>
  <si>
    <t xml:space="preserve">Reserva para riscos e imprevistos</t>
  </si>
  <si>
    <t xml:space="preserve">INDICADORES DE CONTROLE (PROJECT CONTROLS / EARNED VALUE ADAPTADO)</t>
  </si>
  <si>
    <t xml:space="preserve">BAC — Budget at Completion (orçamento total aprovado)</t>
  </si>
  <si>
    <t xml:space="preserve">AC — Actual Cost (custo realizado / pago)</t>
  </si>
  <si>
    <t xml:space="preserve">Valor total contratado</t>
  </si>
  <si>
    <t xml:space="preserve">EAC — Estimate at Completion (maior entre aprovado e contratado, por item)</t>
  </si>
  <si>
    <t xml:space="preserve">ETC — Estimate to Complete (EAC − AC)</t>
  </si>
  <si>
    <t xml:space="preserve">VAC — Variance at Completion (BAC − EAC)</t>
  </si>
  <si>
    <t xml:space="preserve">% do orçamento comprometido (contratado/BAC)</t>
  </si>
  <si>
    <t xml:space="preserve">% efetivamente pago (AC/BAC)</t>
  </si>
  <si>
    <t xml:space="preserve">PIQUINZADA 2027 | MOTOR DE CÁLCULO DOS CENÁRIOS</t>
  </si>
  <si>
    <t xml:space="preserve">Aba de cálculo — não editar diretamente. Todos os valores derivam de ENTRADAS PMO, VENDAS, PATROCINIOS e CUSTOS.</t>
  </si>
  <si>
    <t xml:space="preserve">PARÂMETROS DE CLASSIFICAÇÃO (editável)</t>
  </si>
  <si>
    <t xml:space="preserve">Margem mínima p/ status VERDE</t>
  </si>
  <si>
    <t xml:space="preserve">Margem de segurança mínima p/ status VERDE</t>
  </si>
  <si>
    <t xml:space="preserve">Margem abaixo da qual o status é VERMELHO</t>
  </si>
  <si>
    <t xml:space="preserve">Cenário</t>
  </si>
  <si>
    <t xml:space="preserve">Pagantes</t>
  </si>
  <si>
    <t xml:space="preserve">Público total</t>
  </si>
  <si>
    <t xml:space="preserve">% Ocupação</t>
  </si>
  <si>
    <t xml:space="preserve">Receita ingressos (líq.)</t>
  </si>
  <si>
    <t xml:space="preserve">Receita consumo (líq.)</t>
  </si>
  <si>
    <t xml:space="preserve">Patrocínio esperado</t>
  </si>
  <si>
    <t xml:space="preserve">Outras receitas</t>
  </si>
  <si>
    <t xml:space="preserve">RECEITA TOTAL</t>
  </si>
  <si>
    <t xml:space="preserve">CUSTO TOTAL</t>
  </si>
  <si>
    <t xml:space="preserve">RESULTADO</t>
  </si>
  <si>
    <t xml:space="preserve">MARGEM</t>
  </si>
  <si>
    <t xml:space="preserve">Receita/participante</t>
  </si>
  <si>
    <t xml:space="preserve">Custo/participante</t>
  </si>
  <si>
    <t xml:space="preserve">Contribuição/pagante</t>
  </si>
  <si>
    <t xml:space="preserve">BE ingressos s/ patrocínio</t>
  </si>
  <si>
    <t xml:space="preserve">BE ingressos c/ patrocínio</t>
  </si>
  <si>
    <t xml:space="preserve">% capacidade p/ BE</t>
  </si>
  <si>
    <t xml:space="preserve">Margem de segurança</t>
  </si>
  <si>
    <t xml:space="preserve">Patrocínio mínimo p/ cachê</t>
  </si>
  <si>
    <t xml:space="preserve">Classificação executiva</t>
  </si>
  <si>
    <t xml:space="preserve">Conservador</t>
  </si>
  <si>
    <t xml:space="preserve">Base</t>
  </si>
  <si>
    <t xml:space="preserve">Agressivo</t>
  </si>
  <si>
    <t xml:space="preserve">PIQUINZADA 2027 | ORÇAMENTO x REAL</t>
  </si>
  <si>
    <t xml:space="preserve">Rollup automático por categoria. Toda a informação vem da aba CUSTOS — nenhuma célula aqui é digitada manualmente.</t>
  </si>
  <si>
    <t xml:space="preserve">Categoria</t>
  </si>
  <si>
    <t xml:space="preserve">Orçamento revisado (aprovado)</t>
  </si>
  <si>
    <t xml:space="preserve">Valor realizado (pago)</t>
  </si>
  <si>
    <t xml:space="preserve">Saldo</t>
  </si>
  <si>
    <t xml:space="preserve">Desvio R$</t>
  </si>
  <si>
    <t xml:space="preserve">Desvio %</t>
  </si>
  <si>
    <t xml:space="preserve">Projeção final (EAC)</t>
  </si>
  <si>
    <t xml:space="preserve">Classificação</t>
  </si>
  <si>
    <t xml:space="preserve">TOTAL</t>
  </si>
  <si>
    <t xml:space="preserve">PIQUINZADA 2027 | FLUXO DE CAIXA</t>
  </si>
  <si>
    <t xml:space="preserve">Distribua o % de cada linha ao longo dos meses (deve somar 100%). Os totais anuais vêm do cenário selecionado abaixo.</t>
  </si>
  <si>
    <t xml:space="preserve">Cenário de referência</t>
  </si>
  <si>
    <t xml:space="preserve">Saldo inicial de caixa</t>
  </si>
  <si>
    <t xml:space="preserve">Coluna do cenário (auto)</t>
  </si>
  <si>
    <t xml:space="preserve">Linha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</si>
  <si>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</si>
  <si>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</si>
  <si>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</si>
  <si>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</si>
  <si>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</si>
  <si>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</si>
  <si>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</si>
  <si>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</si>
  <si>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</si>
  <si>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</si>
  <si>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</si>
  <si>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</si>
  <si>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ano</t>
  </si>
  <si>
    <t xml:space="preserve">ENTRADAS</t>
  </si>
  <si>
    <t xml:space="preserve">Ingressos</t>
  </si>
  <si>
    <t xml:space="preserve">Patrocínios</t>
  </si>
  <si>
    <t xml:space="preserve">Bar / Ativações</t>
  </si>
  <si>
    <t xml:space="preserve">TOTAL ENTRADAS (R$)</t>
  </si>
  <si>
    <t xml:space="preserve">SAÍDAS</t>
  </si>
  <si>
    <t xml:space="preserve">Atrações (cachês)</t>
  </si>
  <si>
    <t xml:space="preserve">Operação (produção/segurança/licenças)</t>
  </si>
  <si>
    <t xml:space="preserve">Taxas / tributos / comissões</t>
  </si>
  <si>
    <t xml:space="preserve">TOTAL SAÍDAS (R$)</t>
  </si>
  <si>
    <t xml:space="preserve">VALORES MENSAIS EM R$ (calculado)</t>
  </si>
  <si>
    <t xml:space="preserve">SALDO DE CAIXA</t>
  </si>
  <si>
    <t xml:space="preserve">Saldo do período</t>
  </si>
  <si>
    <t xml:space="preserve">Saldo acumulado</t>
  </si>
  <si>
    <t xml:space="preserve">Necessidade máxima de capital de giro</t>
  </si>
  <si>
    <t xml:space="preserve">Resultado final do exercício (lucro/prejuízo)</t>
  </si>
  <si>
    <t xml:space="preserve">ALERTA DE CAIXA</t>
  </si>
  <si>
    <t xml:space="preserve">DETALHAMENTO SEMANAL — MÊS DO EVENTO (últimas 8 semanas, mês = Dez)</t>
  </si>
  <si>
    <t xml:space="preserve">Distribua o total do mês do evento (coluna "Dez" acima) entre as 8 semanas que o antecedem. Útil para checar caixa na reta final.</t>
  </si>
  <si>
    <t xml:space="preserve">Sem. -7</t>
  </si>
  <si>
    <t xml:space="preserve">Sem. -6</t>
  </si>
  <si>
    <t xml:space="preserve">Sem. -5</t>
  </si>
  <si>
    <t xml:space="preserve">Sem. -4</t>
  </si>
  <si>
    <t xml:space="preserve">Sem. -3</t>
  </si>
  <si>
    <t xml:space="preserve">Sem. -2</t>
  </si>
  <si>
    <t xml:space="preserve">Sem. -1</t>
  </si>
  <si>
    <t xml:space="preserve">Sem. Evento</t>
  </si>
  <si>
    <t xml:space="preserve">Total</t>
  </si>
  <si>
    <t xml:space="preserve">% Entradas por semana</t>
  </si>
  <si>
    <t xml:space="preserve">% Saídas por semana</t>
  </si>
  <si>
    <t xml:space="preserve">Entradas (R$)</t>
  </si>
  <si>
    <t xml:space="preserve">Saídas (R$)</t>
  </si>
  <si>
    <t xml:space="preserve">Saldo acumulado (semanal)</t>
  </si>
  <si>
    <t xml:space="preserve">CAPITAL DE GIRO POR CENÁRIO (reutiliza as mesmas distribuições mensais acima)</t>
  </si>
  <si>
    <t xml:space="preserve">Aplica os % de distribuição mensal definidos acima aos totais de cada cenário, para comparar a necessidade de caixa entre eles.</t>
  </si>
  <si>
    <t xml:space="preserve">Conservador — Saldo acumulado mensal</t>
  </si>
  <si>
    <t xml:space="preserve">   ↳ Necessidade máxima de capital de giro (Conservador)</t>
  </si>
  <si>
    <t xml:space="preserve">Base — Saldo acumulado mensal</t>
  </si>
  <si>
    <t xml:space="preserve">   ↳ Necessidade máxima de capital de giro (Base)</t>
  </si>
  <si>
    <t xml:space="preserve">Agressivo — Saldo acumulado mensal</t>
  </si>
  <si>
    <t xml:space="preserve">   ↳ Necessidade máxima de capital de giro (Agressivo)</t>
  </si>
  <si>
    <t xml:space="preserve">PIQUINZADA 2027 | PONTO DE EQUILÍBRIO</t>
  </si>
  <si>
    <t xml:space="preserve">Todas as métricas derivam do motor de cálculo (aba Cenarios) e de ENTRADAS PMO.</t>
  </si>
  <si>
    <t xml:space="preserve">Indicador</t>
  </si>
  <si>
    <t xml:space="preserve">Ponto de equilíbrio — ingressos SEM patrocínio</t>
  </si>
  <si>
    <t xml:space="preserve">Ponto de equilíbrio — ingressos COM patrocínio esperado</t>
  </si>
  <si>
    <t xml:space="preserve">Quantidade mínima de ingressos a vender</t>
  </si>
  <si>
    <t xml:space="preserve">% mínimo de ocupação da capacidade</t>
  </si>
  <si>
    <t xml:space="preserve">Receita mínima necessária (= Custo Total)</t>
  </si>
  <si>
    <t xml:space="preserve">Patrocínio mínimo necessário (cobrir o cachê)</t>
  </si>
  <si>
    <t xml:space="preserve">Margem de segurança (sobre pagantes planejados)</t>
  </si>
  <si>
    <t xml:space="preserve">Ticket médio mínimo (mantendo demais premissas)</t>
  </si>
  <si>
    <t xml:space="preserve">SIMULADORES "E SE...?"</t>
  </si>
  <si>
    <t xml:space="preserve">Cenário de referência para os simuladores</t>
  </si>
  <si>
    <t xml:space="preserve">1) Se o patrocínio for R$ ___, quantos ingressos preciso vender?</t>
  </si>
  <si>
    <t xml:space="preserve">   Patrocínio hipotético (R$)</t>
  </si>
  <si>
    <t xml:space="preserve">   → Ingressos necessários</t>
  </si>
  <si>
    <t xml:space="preserve">2) Se eu vender ___ ingressos, quanto de patrocínio preciso?</t>
  </si>
  <si>
    <t xml:space="preserve">   Ingressos hipotéticos</t>
  </si>
  <si>
    <t xml:space="preserve">   → Patrocínio necessário</t>
  </si>
  <si>
    <t xml:space="preserve">3) Se o cachê da atração principal subir para R$ ___, qual o novo break-even?</t>
  </si>
  <si>
    <t xml:space="preserve">   Novo cachê hipotético (R$)</t>
  </si>
  <si>
    <t xml:space="preserve">   → Novo custo total do cenário</t>
  </si>
  <si>
    <t xml:space="preserve">   → Novo break-even (ingressos, com patrocínio esperado)</t>
  </si>
  <si>
    <t xml:space="preserve">4) Qual o preço médio mínimo do ingresso para atingir a margem alvo ___?</t>
  </si>
  <si>
    <t xml:space="preserve">   Margem líquida alvo (%)</t>
  </si>
  <si>
    <t xml:space="preserve">   → Ticket médio mínimo necessário</t>
  </si>
  <si>
    <t xml:space="preserve">PIQUINZADA 2027 | ANÁLISE DE SENSIBILIDADE</t>
  </si>
  <si>
    <t xml:space="preserve">Impacto no RESULTADO do cenário selecionado quando cada variável muda isoladamente (demais premissas mantidas fixas).</t>
  </si>
  <si>
    <t xml:space="preserve">Resultado do cenário (referência)</t>
  </si>
  <si>
    <t xml:space="preserve">Receita total (referência, base de % de impacto)</t>
  </si>
  <si>
    <t xml:space="preserve">Variável</t>
  </si>
  <si>
    <t xml:space="preserve">-30%</t>
  </si>
  <si>
    <t xml:space="preserve">-20%</t>
  </si>
  <si>
    <t xml:space="preserve">-10%</t>
  </si>
  <si>
    <t xml:space="preserve">+10%</t>
  </si>
  <si>
    <t xml:space="preserve">+20%</t>
  </si>
  <si>
    <t xml:space="preserve">Venda de ingressos (qtd. de pagantes)</t>
  </si>
  <si>
    <t xml:space="preserve">Patrocínio</t>
  </si>
  <si>
    <t xml:space="preserve">Cachê da atração principal</t>
  </si>
  <si>
    <t xml:space="preserve">Custos de estrutura</t>
  </si>
  <si>
    <t xml:space="preserve">Custos gerais (custo total)</t>
  </si>
  <si>
    <t xml:space="preserve">Consumo por participante</t>
  </si>
  <si>
    <t xml:space="preserve">RANKING DE IMPACTO (variação de referência: ±20%)</t>
  </si>
  <si>
    <t xml:space="preserve">Variação testada</t>
  </si>
  <si>
    <t xml:space="preserve">Impacto no resultado (R$)</t>
  </si>
  <si>
    <t xml:space="preserve">Impacto (% da receita)</t>
  </si>
  <si>
    <t xml:space="preserve">Nível de sensibilidade</t>
  </si>
  <si>
    <t xml:space="preserve">Ranking</t>
  </si>
  <si>
    <t xml:space="preserve">Faixas (editável)</t>
  </si>
  <si>
    <t xml:space="preserve">+20% / -20%</t>
  </si>
  <si>
    <t xml:space="preserve">Baixo: &lt;</t>
  </si>
  <si>
    <t xml:space="preserve">Moderado: &lt;</t>
  </si>
  <si>
    <t xml:space="preserve">Alto: &lt;</t>
  </si>
  <si>
    <t xml:space="preserve">PIQUINZADA 2027 | GESTÃO DE RISCOS (RISK REGISTER)</t>
  </si>
  <si>
    <t xml:space="preserve">Probabilidade e Impacto em escala de 1 (muito baixo) a 5 (muito alto). Score = Probabilidade × Impacto.</t>
  </si>
  <si>
    <t xml:space="preserve">ID</t>
  </si>
  <si>
    <t xml:space="preserve">Risco</t>
  </si>
  <si>
    <t xml:space="preserve">Causa</t>
  </si>
  <si>
    <t xml:space="preserve">Consequência</t>
  </si>
  <si>
    <t xml:space="preserve">Probabilidade (1-5)</t>
  </si>
  <si>
    <t xml:space="preserve">Impacto (1-5)</t>
  </si>
  <si>
    <t xml:space="preserve">Score</t>
  </si>
  <si>
    <t xml:space="preserve">Resposta ao risco</t>
  </si>
  <si>
    <t xml:space="preserve">Plano de mitigação</t>
  </si>
  <si>
    <t xml:space="preserve">Prazo</t>
  </si>
  <si>
    <t xml:space="preserve">Score eficaz (priorização, exclui encerrados)</t>
  </si>
  <si>
    <t xml:space="preserve">Déficit de caixa antes do evento</t>
  </si>
  <si>
    <t xml:space="preserve">Concentração de custos (sinais/cachês) no início do cronograma</t>
  </si>
  <si>
    <t xml:space="preserve">Necessidade de aporte emergencial ou atraso de pagamentos</t>
  </si>
  <si>
    <t xml:space="preserve">Mitigar</t>
  </si>
  <si>
    <t xml:space="preserve">Negociar prazos de pagamento e escalonar sinais; manter linha de crédito de contingência</t>
  </si>
  <si>
    <t xml:space="preserve">Aberto</t>
  </si>
  <si>
    <t xml:space="preserve">Estouro do orçamento aprovado (BAC)</t>
  </si>
  <si>
    <t xml:space="preserve">Reestimativas subdimensionadas em itens de estrutura/produção</t>
  </si>
  <si>
    <t xml:space="preserve">Redução da margem ou necessidade de patrocínio extra</t>
  </si>
  <si>
    <t xml:space="preserve">Acompanhar EAC semanalmente na aba CUSTOS; travar reserva de contingência</t>
  </si>
  <si>
    <t xml:space="preserve">Baixa velocidade de vendas de ingressos</t>
  </si>
  <si>
    <t xml:space="preserve">Concorrência de eventos na mesma data/região</t>
  </si>
  <si>
    <t xml:space="preserve">Meta de pagantes não atingida, pressão sobre break-even</t>
  </si>
  <si>
    <t xml:space="preserve">Reforçar campanha de tráfego pago e ação de lotes promocionais</t>
  </si>
  <si>
    <t xml:space="preserve">Excesso de cortesias/permutas</t>
  </si>
  <si>
    <t xml:space="preserve">Falta de política formal de cortesias</t>
  </si>
  <si>
    <t xml:space="preserve">Redução da receita líquida de bilheteria</t>
  </si>
  <si>
    <t xml:space="preserve">Definir e aprovar limite máximo de cortesias por área</t>
  </si>
  <si>
    <t xml:space="preserve">Não fechamento das cotas em negociação</t>
  </si>
  <si>
    <t xml:space="preserve">Ciclo de decisão do patrocinador mais longo que o cronograma do evento</t>
  </si>
  <si>
    <t xml:space="preserve">Cobertura do cachê principal comprometida</t>
  </si>
  <si>
    <t xml:space="preserve">Priorizar pipeline com follow-up semanal; ter plano B de cotas menores</t>
  </si>
  <si>
    <t xml:space="preserve">Inadimplência de patrocinador contratado</t>
  </si>
  <si>
    <t xml:space="preserve">Fragilidade financeira do patrocinador</t>
  </si>
  <si>
    <t xml:space="preserve">Receita esperada não realizada</t>
  </si>
  <si>
    <t xml:space="preserve">Transferir</t>
  </si>
  <si>
    <t xml:space="preserve">Formalizar contrato com sinal e garantias; nota fiscal antecipada</t>
  </si>
  <si>
    <t xml:space="preserve">Artista</t>
  </si>
  <si>
    <t xml:space="preserve">Cancelamento da atração principal</t>
  </si>
  <si>
    <t xml:space="preserve">Agenda do artista, motivos de saúde ou força maior</t>
  </si>
  <si>
    <t xml:space="preserve">Reformulação total do line-up e possível cancelamento do evento</t>
  </si>
  <si>
    <t xml:space="preserve">Cláusula contratual de contingência e seguro de cancelamento</t>
  </si>
  <si>
    <t xml:space="preserve">Aumento do cachê em renegociação</t>
  </si>
  <si>
    <t xml:space="preserve">Alta demanda de mercado pela atração</t>
  </si>
  <si>
    <t xml:space="preserve">Piora do break-even e da margem</t>
  </si>
  <si>
    <t xml:space="preserve">Aceitar</t>
  </si>
  <si>
    <t xml:space="preserve">Fechar contrato com valor travado o quanto antes (ver GATE 2)</t>
  </si>
  <si>
    <t xml:space="preserve">Fornecedor-chave (estrutura/som) não entrega</t>
  </si>
  <si>
    <t xml:space="preserve">Concentração em fornecedor único, sem plano B</t>
  </si>
  <si>
    <t xml:space="preserve">Impacto direto na qualidade e segurança do evento</t>
  </si>
  <si>
    <t xml:space="preserve">Contratar fornecedor backup e prever multas contratuais</t>
  </si>
  <si>
    <t xml:space="preserve">Infraestrutura</t>
  </si>
  <si>
    <t xml:space="preserve">Falha estrutural (palco/gradil/energia)</t>
  </si>
  <si>
    <t xml:space="preserve">Montagem fora do padrão técnico ou fiscalização insuficiente</t>
  </si>
  <si>
    <t xml:space="preserve">Risco à segurança do público e possível interdição</t>
  </si>
  <si>
    <t xml:space="preserve">Laudo técnico (ART) obrigatório e vistoria antes da abertura dos portões</t>
  </si>
  <si>
    <t xml:space="preserve">Incidente de segurança/tumulto</t>
  </si>
  <si>
    <t xml:space="preserve">Efetivo de segurança subdimensionado para o público</t>
  </si>
  <si>
    <t xml:space="preserve">Risco à integridade física e exposição jurídica/reputacional</t>
  </si>
  <si>
    <t xml:space="preserve">Dimensionar segurança conforme normas e plano de emergência</t>
  </si>
  <si>
    <t xml:space="preserve">Licenciamento</t>
  </si>
  <si>
    <t xml:space="preserve">Atraso ou negativa de alvará/licença</t>
  </si>
  <si>
    <t xml:space="preserve">Documentação incompleta ou prazo apertado junto ao órgão público</t>
  </si>
  <si>
    <t xml:space="preserve">Risco de cancelamento ou adiamento do evento</t>
  </si>
  <si>
    <t xml:space="preserve">Iniciar processo de licenciamento com folga mínima de 90 dias</t>
  </si>
  <si>
    <t xml:space="preserve">Clima</t>
  </si>
  <si>
    <t xml:space="preserve">Condições climáticas adversas no dia do evento</t>
  </si>
  <si>
    <t xml:space="preserve">Evento ao ar livre em período de chuvas</t>
  </si>
  <si>
    <t xml:space="preserve">Queda de público, custos extras de cobertura, risco de segurança</t>
  </si>
  <si>
    <t xml:space="preserve">Contratar seguro climático e plano de contingência de cobertura</t>
  </si>
  <si>
    <t xml:space="preserve">Baixo engajamento das campanhas digitais</t>
  </si>
  <si>
    <t xml:space="preserve">Criativos/mensagens não performando como esperado</t>
  </si>
  <si>
    <t xml:space="preserve">Reforça o risco comercial de baixa venda de ingressos</t>
  </si>
  <si>
    <t xml:space="preserve">Testes A/B de criativos e realocação ágil de verba de mídia</t>
  </si>
  <si>
    <t xml:space="preserve">Operação</t>
  </si>
  <si>
    <t xml:space="preserve">Falha na operação de credenciamento/portaria</t>
  </si>
  <si>
    <t xml:space="preserve">Equipe insuficiente ou sistema de check-in instável</t>
  </si>
  <si>
    <t xml:space="preserve">Filas, atraso na abertura, insatisfação do público</t>
  </si>
  <si>
    <t xml:space="preserve">Testar sistema de credenciamento antes do evento e reforçar equipe</t>
  </si>
  <si>
    <t xml:space="preserve">Acidente de trabalho na montagem/desmontagem</t>
  </si>
  <si>
    <t xml:space="preserve">Prazos apertados e equipe terceirizada sem treinamento</t>
  </si>
  <si>
    <t xml:space="preserve">Risco jurídico, atraso no cronograma físico</t>
  </si>
  <si>
    <t xml:space="preserve">Exigir NRs e treinamento de segurança de todos os fornecedores</t>
  </si>
  <si>
    <t xml:space="preserve">MAPA DE CALOR — PROBABILIDADE × IMPACTO (contagem de riscos)</t>
  </si>
  <si>
    <t xml:space="preserve">Prob. \ Impacto</t>
  </si>
  <si>
    <t xml:space="preserve">Total de riscos</t>
  </si>
  <si>
    <t xml:space="preserve">Riscos críticos abertos (score ≥ 16 e status ≠ Encerrado)</t>
  </si>
  <si>
    <t xml:space="preserve">PIQUINZADA 2027 | GATES DE DECISÃO DO PROJETO</t>
  </si>
  <si>
    <t xml:space="preserve">Pontos formais de decisão go/no-go ao longo do ciclo de vida do evento.</t>
  </si>
  <si>
    <t xml:space="preserve">Gate</t>
  </si>
  <si>
    <t xml:space="preserve">Critério</t>
  </si>
  <si>
    <t xml:space="preserve">Meta</t>
  </si>
  <si>
    <t xml:space="preserve">Resultado atual</t>
  </si>
  <si>
    <t xml:space="preserve">Decisão</t>
  </si>
  <si>
    <t xml:space="preserve">GATE 1 — Viabilidade inicial</t>
  </si>
  <si>
    <t xml:space="preserve">Cenário Base deve estar classificado como GO ou GO COM RESSALVAS</t>
  </si>
  <si>
    <t xml:space="preserve">≠ NO-GO</t>
  </si>
  <si>
    <t xml:space="preserve">Diretoria</t>
  </si>
  <si>
    <t xml:space="preserve">Pendente</t>
  </si>
  <si>
    <t xml:space="preserve">GATE 2 — Contratação da atração principal</t>
  </si>
  <si>
    <t xml:space="preserve">Patrocínio contratado (ou garantia financeira equivalente) deve atingir o % mínimo do cachê definido ao lado — não aprovar a contratação definitiva sem isso</t>
  </si>
  <si>
    <t xml:space="preserve">   ↳ % mínimo de patrocínio/garantia exigido (editável)</t>
  </si>
  <si>
    <t xml:space="preserve">GATE 3 — Lançamento oficial</t>
  </si>
  <si>
    <t xml:space="preserve">Estrutura reservada, licenciamento iniciado e 1º lote de ingressos definido</t>
  </si>
  <si>
    <t xml:space="preserve">Sim</t>
  </si>
  <si>
    <t xml:space="preserve">Não</t>
  </si>
  <si>
    <t xml:space="preserve">GATE 4 — Confirmação operacional</t>
  </si>
  <si>
    <t xml:space="preserve">% de vendas realizadas deve atingir a meta mínima definida ao lado, e fornecedores críticos devem estar contratados</t>
  </si>
  <si>
    <t xml:space="preserve">Operações</t>
  </si>
  <si>
    <t xml:space="preserve">   ↳ % mínimo de vendas realizadas exigido (editável)</t>
  </si>
  <si>
    <t xml:space="preserve">GATE 5 — Liberação final do evento</t>
  </si>
  <si>
    <t xml:space="preserve">Licenças emitidas, caixa suficiente para os próximos 30 dias e zero riscos críticos abertos</t>
  </si>
  <si>
    <t xml:space="preserve">0 riscos críticos</t>
  </si>
  <si>
    <t xml:space="preserve">Direção Geral</t>
  </si>
  <si>
    <t xml:space="preserve">PIQUINZADA 2027 | FORECAST PMO (BASELINE = CENÁRIO BASE)</t>
  </si>
  <si>
    <t xml:space="preserve">Conforme o evento se aproxima, o forecast substitui os cenários iniciais por uma projeção que combina o realizado com o pipeline em aberto.</t>
  </si>
  <si>
    <t xml:space="preserve">ORÇAMENTO ORIGINAL</t>
  </si>
  <si>
    <t xml:space="preserve">REALIZADO ATÉ O MOMENTO</t>
  </si>
  <si>
    <t xml:space="preserve">FORECAST AT COMPLETION</t>
  </si>
  <si>
    <t xml:space="preserve">CUSTOS</t>
  </si>
  <si>
    <t xml:space="preserve">   ↳ já contratado</t>
  </si>
  <si>
    <t xml:space="preserve">   ↳ ainda por gastar (ETC)</t>
  </si>
  <si>
    <t xml:space="preserve">RECEITAS</t>
  </si>
  <si>
    <t xml:space="preserve">Ingressos (pagantes)</t>
  </si>
  <si>
    <t xml:space="preserve">Receita de ingressos (líquida)</t>
  </si>
  <si>
    <t xml:space="preserve">Receita de consumo/ativações (líquida)</t>
  </si>
  <si>
    <t xml:space="preserve">Patrocínio pipeline (ponderado)</t>
  </si>
  <si>
    <t xml:space="preserve">Variação do Forecast vs. Orçamento original (R$)</t>
  </si>
  <si>
    <t xml:space="preserve">PIQUINZADA 2027 | COMPARATIVO DOS 3 CENÁRIOS</t>
  </si>
  <si>
    <t xml:space="preserve">Todos os valores são links diretos para a aba Cenarios (motor de cálculo) e FLUXO DE CAIXA.</t>
  </si>
  <si>
    <t xml:space="preserve">Receita de ingressos (líq.)</t>
  </si>
  <si>
    <t xml:space="preserve">Receita de consumo/ativações (líq.)</t>
  </si>
  <si>
    <t xml:space="preserve">Break-even (ingressos, com patrocínio)</t>
  </si>
  <si>
    <t xml:space="preserve">Exposição financeira (Custo Total − Patrocínio contratado)</t>
  </si>
  <si>
    <t xml:space="preserve">Necessidade de capital de giro</t>
  </si>
  <si>
    <t xml:space="preserve">PIQUINZADA 2027 | SCORE DE VIABILIDADE</t>
  </si>
  <si>
    <t xml:space="preserve">Índice de 0 a 100. Pesos e metas de referência de cada fator são editáveis. Padrão: cenário Base.</t>
  </si>
  <si>
    <t xml:space="preserve">Cenário avaliado</t>
  </si>
  <si>
    <t xml:space="preserve">Fator</t>
  </si>
  <si>
    <t xml:space="preserve">Peso</t>
  </si>
  <si>
    <t xml:space="preserve">Meta de referência (100 pts)</t>
  </si>
  <si>
    <t xml:space="preserve">Valor atual</t>
  </si>
  <si>
    <t xml:space="preserve">Subscore (0-100)</t>
  </si>
  <si>
    <t xml:space="preserve">Margem esperada</t>
  </si>
  <si>
    <t xml:space="preserve">Margem de segurança (distância do break-even)</t>
  </si>
  <si>
    <t xml:space="preserve">Patrocínio contratado / esperado</t>
  </si>
  <si>
    <t xml:space="preserve">Exposição financeira (invertida: 1 − exposição/custo total)</t>
  </si>
  <si>
    <t xml:space="preserve">% de custos já contratados (comprometido/BAC)</t>
  </si>
  <si>
    <t xml:space="preserve">Contingência ainda disponível</t>
  </si>
  <si>
    <t xml:space="preserve">Riscos críticos abertos (invertido: cada risco = −25 pts)</t>
  </si>
  <si>
    <t xml:space="preserve">Necessidade de capital de giro (invertida: 1 − cap.giro/custo total)</t>
  </si>
  <si>
    <t xml:space="preserve">Soma dos pesos (deve ser 100%)</t>
  </si>
  <si>
    <t xml:space="preserve">SCORE DE VIABILIDADE (0-100)</t>
  </si>
  <si>
    <t xml:space="preserve">FAIXAS DE CLASSIFICAÇÃO (editável)</t>
  </si>
  <si>
    <t xml:space="preserve">De (score mínimo)</t>
  </si>
  <si>
    <t xml:space="preserve">Até (score máximo)</t>
  </si>
  <si>
    <t xml:space="preserve">VIÁVEL / GO</t>
  </si>
  <si>
    <t xml:space="preserve">VIÁVEL COM ATENÇÃO</t>
  </si>
  <si>
    <t xml:space="preserve">ALTO RISCO / REAVALIAR</t>
  </si>
  <si>
    <t xml:space="preserve">NÃO RECOMENDADO / NO-GO</t>
  </si>
  <si>
    <t xml:space="preserve">CLASSIFICAÇÃO FINAL</t>
  </si>
  <si>
    <t xml:space="preserve">PIQUINZADA 2027 | COMO ALIMENTAR ESTA FERRAMENTA</t>
  </si>
  <si>
    <t xml:space="preserve">LEGENDA DE CORES</t>
  </si>
  <si>
    <t xml:space="preserve">●</t>
  </si>
  <si>
    <t xml:space="preserve">AZUL (fundo azul claro, texto azul) — Célula de ENTRADA — pode e deve ser editada pelo gestor.</t>
  </si>
  <si>
    <t xml:space="preserve">CINZA (fundo cinza, texto preto) — Célula de FÓRMULA/CÁLCULO — não editar; o valor vem de outra célula.</t>
  </si>
  <si>
    <t xml:space="preserve">VERDE (texto verde) — LINK para outra aba — mostra de onde vem o dado, mas também não deve ser digitado por cima.</t>
  </si>
  <si>
    <t xml:space="preserve">VERDE (fundo verde) — Indicador FAVORÁVEL (dentro da meta).</t>
  </si>
  <si>
    <t xml:space="preserve">AMARELO (fundo amarelo) — Indicador de ATENÇÃO (próximo do limite).</t>
  </si>
  <si>
    <t xml:space="preserve">VERMELHO (fundo vermelho) — Indicador CRÍTICO (fora da meta, requer ação).</t>
  </si>
  <si>
    <t xml:space="preserve">GOVERNANÇA DOS DADOS (SINGLE SOURCE OF TRUTH)</t>
  </si>
  <si>
    <t xml:space="preserve">Alimente os dados SOMENTE nestas quatro abas: ENTRADAS PMO (premissas de evento, custos e consumo), VENDAS (lotes de ingresso e vendas realizadas), PATROCINIOS (cotas comerciais e pipeline) e CUSTOS (acompanhamento de fornecedores/pagamentos). Todas as demais abas (Dashboard, Cenarios, ORÇAMENTO x REAL, FLUXO DE CAIXA, BREAK-EVEN, SENSIBILIDADE, COMPARATIVO, SCORE VIABILIDADE, FORECAST) calculam tudo automaticamente a partir dessas quatro. Nunca digite um número por cima de uma célula cinza ou verde.</t>
  </si>
  <si>
    <t xml:space="preserve">PASSO A PASSO</t>
  </si>
  <si>
    <t xml:space="preserve">Passo 1 — Cenário Conservador: Preencha a coluna "CONSERVADOR" em ENTRADAS PMO, VENDAS e PATROCINIOS com hipóteses prudentes: menor público, menor ticket médio, menor patrocínio (estágios de negociação menos avançados) e custos potencialmente mais elevados. É normal — e até desejável — que este cenário apresente resultado negativo: ele funciona como gatilho de controle de risco para a decisão go/no-go.</t>
  </si>
  <si>
    <t xml:space="preserve">Passo 2 — Cenário Base: Preencha a coluna "BASE" com a expectativa mais provável da gestão. Este é o cenário usado como referência em FLUXO DE CAIXA, BREAK-EVEN, SENSIBILIDADE, SCORE DE VIABILIDADE, GATES PMO e FORECAST.</t>
  </si>
  <si>
    <t xml:space="preserve">Passo 3 — Cenário Agressivo: Preencha a coluna "AGRESSIVO" com resultados otimistas, porém tecnicamente possíveis e justificáveis (não fantasiosos).</t>
  </si>
  <si>
    <t xml:space="preserve">Passo 4 — Atualize os valores reais: Conforme contratos forem assinados, atualize a aba CUSTOS (Fornecedor, Orçamento aprovado, Valor contratado, Valor pago, Status) e a aba PATROCINIOS (mude o Estágio de cada cota para "Contratado" quando fechar).</t>
  </si>
  <si>
    <t xml:space="preserve">Passo 5 — Atualize semanalmente vendas e patrocínios: Na aba VENDAS, atualize "Ingressos vendidos até hoje" e a "Data atual"/"Data do evento". Isso recalcula automaticamente velocidade de vendas, projeção de público final, FORECAST e os GATES PMO.</t>
  </si>
  <si>
    <t xml:space="preserve">Passo 6 — Analise antes de decidir: Antes de qualquer novo compromisso financeiro relevante (ex.: assinar contrato do artista), consulte nesta ordem: Dashboard (status e recomendação) → GATES PMO (o gate aplicável foi atingido?) → RISCOS (algum risco crítico em aberto?) → FORECAST (o resultado projetado final ainda é saudável?).</t>
  </si>
  <si>
    <t xml:space="preserve">MAPA DAS ABAS</t>
  </si>
  <si>
    <t xml:space="preserve">Dashboard: Painel executivo com as 3 janelas de cenário, KPIs, indicadores de venda e recomendação PMO.</t>
  </si>
  <si>
    <t xml:space="preserve">ENTRADAS PMO: Fonte única das premissas de evento, consumo, atrações, estrutura, operação, marketing, logística e outros custos — por cenário.</t>
  </si>
  <si>
    <t xml:space="preserve">VENDAS: Fonte única dos lotes de ingresso por cenário + acompanhamento de vendas realizadas.</t>
  </si>
  <si>
    <t xml:space="preserve">PATROCINIOS: Fonte única das cotas comerciais por cenário, com estágio de negociação e probabilidade.</t>
  </si>
  <si>
    <t xml:space="preserve">CUSTOS: Registro PMO de custos por item, com BAC/AC/ETC/EAC/VAC (Project Controls / Earned Value adaptado).</t>
  </si>
  <si>
    <t xml:space="preserve">Cenarios: Motor de cálculo — não editar. Consolida os 3 cenários e alimenta as demais abas.</t>
  </si>
  <si>
    <t xml:space="preserve">ORÇAMENTO x REAL: Comparação orçado x realizado por categoria de custo.</t>
  </si>
  <si>
    <t xml:space="preserve">FLUXO DE CAIXA: Entradas e saídas mês a mês (e semana a semana perto do evento), saldo acumulado e necessidade de capital de giro.</t>
  </si>
  <si>
    <t xml:space="preserve">BREAK-EVEN: Ponto de equilíbrio por cenário + 4 simuladores "e se?".</t>
  </si>
  <si>
    <t xml:space="preserve">SENSIBILIDADE: Impacto de cada variável no resultado, com nível de sensibilidade.</t>
  </si>
  <si>
    <t xml:space="preserve">RISCOS: Risk register PMO com mapa de calor Probabilidade × Impacto.</t>
  </si>
  <si>
    <t xml:space="preserve">GATES PMO: Pontos formais de decisão go/no-go do projeto.</t>
  </si>
  <si>
    <t xml:space="preserve">FORECAST: Orçamento original x Realizado x Forecast at Completion.</t>
  </si>
  <si>
    <t xml:space="preserve">COMPARATIVO: Tabela e gráficos comparando os 3 cenários lado a lado.</t>
  </si>
  <si>
    <t xml:space="preserve">SCORE VIABILIDADE: Índice de viabilidade de 0 a 100 com faixas de classificação editáveis.</t>
  </si>
  <si>
    <t xml:space="preserve">Fontes: Referências e notas metodológicas do modelo original.</t>
  </si>
  <si>
    <t xml:space="preserve">FONTES E NOTAS DE REFERÊNCIA</t>
  </si>
  <si>
    <t xml:space="preserve">Tema</t>
  </si>
  <si>
    <t xml:space="preserve">Referência</t>
  </si>
  <si>
    <t xml:space="preserve">URL</t>
  </si>
  <si>
    <t xml:space="preserve">Uso no modelo</t>
  </si>
  <si>
    <t xml:space="preserve">Jammil / referência pública</t>
  </si>
  <si>
    <t xml:space="preserve">PNCP — contratação de Jammil para Carnaval 2025</t>
  </si>
  <si>
    <t xml:space="preserve">https://pncp.gov.br/app/contratos?pagina=1&amp;q=jammil&amp;status=todos</t>
  </si>
  <si>
    <t xml:space="preserve">Referência de mercado; o arquivo usa R$ 180 mil como premissa editável, não como cotação</t>
  </si>
  <si>
    <t xml:space="preserve">Jammil / aderência MG</t>
  </si>
  <si>
    <t xml:space="preserve">Prefeitura de Contagem — Pré-Carnaval 2026 com Jammil</t>
  </si>
  <si>
    <t xml:space="preserve">https://portal.contagem.mg.gov.br/portal/noticias/0/3/83105/pre-carnaval-de-contagem-tera-banda-jammil-e-tambem-desfiles-dos-blocos</t>
  </si>
  <si>
    <t xml:space="preserve">Confirma presença recente da atração na Grande BH</t>
  </si>
  <si>
    <t xml:space="preserve">Metodologia</t>
  </si>
  <si>
    <t xml:space="preserve">Premissas próprias de planejamento</t>
  </si>
  <si>
    <t xml:space="preserve">Modelo interno</t>
  </si>
  <si>
    <t xml:space="preserve">Capacidade, preços, custos e patrocínios são hipóteses editáveis e devem ser substituídos por propostas/cotações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</si>
</sst>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[RED]\(#,##0\)"/>
    <numFmt numFmtId="166" formatCode="0.0%"/>
    <numFmt numFmtId="167" formatCode="#,##0"/>
    <numFmt numFmtId="168" formatCode="&quot;R$ &quot;#,##0.00"/>
    <numFmt numFmtId="169" formatCode="dd/mm/yyyy"/>
    <numFmt numFmtId="170" formatCode="#,##0.00"/>
    <numFmt numFmtId="171" formatCode="0.0"/>
    <numFmt numFmtId="172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rgb="FF1F3864"/>
        <bgColor rgb="FF333333"/>
      </patternFill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DCE6F1"/>
        <bgColor rgb="FFD9D9D9"/>
      </patternFill>
    </fill>
    <fill>
      <patternFill patternType="solid">
        <fgColor rgb="FF006100"/>
        <bgColor rgb="FF008000"/>
      </patternFill>
    </fill>
    <fill>
      <patternFill patternType="solid">
        <fgColor rgb="FFFFEB9C"/>
        <bgColor rgb="FFF2F2F2"/>
      </patternFill>
    </fill>
    <fill>
      <patternFill patternType="solid">
        <fgColor rgb="FFFFC299"/>
        <bgColor rgb="FFFFC7CE"/>
      </patternFill>
    </fill>
    <fill>
      <patternFill patternType="solid">
        <fgColor rgb="FFFFC7CE"/>
        <bgColor rgb="FFFFC299"/>
      </patternFill>
    </fill>
    <fill>
      <patternFill patternType="solid">
        <fgColor rgb="FFC6EFC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7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2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  <sz val="13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3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3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7B7B7"/>
      <rgbColor rgb="FF808080"/>
      <rgbColor rgb="FF9999FF"/>
      <rgbColor rgb="FFC0504D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C299"/>
      <rgbColor rgb="FF3366FF"/>
      <rgbColor rgb="FF33CCCC"/>
      <rgbColor rgb="FF9BBB59"/>
      <rgbColor rgb="FFFFCC00"/>
      <rgbColor rgb="FFFF9900"/>
      <rgbColor rgb="FFFF6600"/>
      <rgbColor rgb="FF595959"/>
      <rgbColor rgb="FF878787"/>
      <rgbColor rgb="FF1F3864"/>
      <rgbColor rgb="FF2E7D32"/>
      <rgbColor rgb="FF0061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total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COMPARATIVO!$B$11</c:f>
              <c:numCache>
                <c:formatCode>#,##0;[RED]\(#,##0\)</c:formatCode>
                <c:ptCount val="1"/>
                <c:pt idx="0">
                  <c:v>195458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COMPARATIVO!$C$11</c:f>
              <c:numCache>
                <c:formatCode>#,##0;[RED]\(#,##0\)</c:formatCode>
                <c:ptCount val="1"/>
                <c:pt idx="0">
                  <c:v>491026.5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COMPARATIVO!$D$11</c:f>
              <c:numCache>
                <c:formatCode>#,##0;[RED]\(#,##0\)</c:formatCode>
                <c:ptCount val="1"/>
                <c:pt idx="0">
                  <c:v>689420</c:v>
                </c:pt>
              </c:numCache>
            </c:numRef>
          </c:val>
        </c:ser>
        <c:gapWidth val="150"/>
        <c:overlap val="0"/>
        <c:axId val="96998957"/>
        <c:axId val="56152393"/>
      </c:barChart>
      <c:catAx>
        <c:axId val="969989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52393"/>
        <c:crosses val="autoZero"/>
        <c:auto val="1"/>
        <c:lblAlgn val="ctr"/>
        <c:lblOffset val="100"/>
        <c:noMultiLvlLbl val="0"/>
      </c:catAx>
      <c:valAx>
        <c:axId val="561523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98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 total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COMPARATIVO!$B$12</c:f>
              <c:numCache>
                <c:formatCode>#,##0;[RED]\(#,##0\)</c:formatCode>
                <c:ptCount val="1"/>
                <c:pt idx="0">
                  <c:v>403049.8042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COMPARATIVO!$C$12</c:f>
              <c:numCache>
                <c:formatCode>#,##0;[RED]\(#,##0\)</c:formatCode>
                <c:ptCount val="1"/>
                <c:pt idx="0">
                  <c:v>475795.431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COMPARATIVO!$D$12</c:f>
              <c:numCache>
                <c:formatCode>#,##0;[RED]\(#,##0\)</c:formatCode>
                <c:ptCount val="1"/>
                <c:pt idx="0">
                  <c:v>571042.67</c:v>
                </c:pt>
              </c:numCache>
            </c:numRef>
          </c:val>
        </c:ser>
        <c:gapWidth val="150"/>
        <c:overlap val="0"/>
        <c:axId val="64835921"/>
        <c:axId val="13075561"/>
      </c:barChart>
      <c:catAx>
        <c:axId val="648359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75561"/>
        <c:crosses val="autoZero"/>
        <c:auto val="1"/>
        <c:lblAlgn val="ctr"/>
        <c:lblOffset val="100"/>
        <c:noMultiLvlLbl val="0"/>
      </c:catAx>
      <c:valAx>
        <c:axId val="13075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359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Resultado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COMPARATIVO!$B$13</c:f>
              <c:numCache>
                <c:formatCode>#,##0;[RED]\(#,##0\)</c:formatCode>
                <c:ptCount val="1"/>
                <c:pt idx="0">
                  <c:v>-207591.8042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COMPARATIVO!$C$13</c:f>
              <c:numCache>
                <c:formatCode>#,##0;[RED]\(#,##0\)</c:formatCode>
                <c:ptCount val="1"/>
                <c:pt idx="0">
                  <c:v>15231.069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COMPARATIVO!$D$13</c:f>
              <c:numCache>
                <c:formatCode>#,##0;[RED]\(#,##0\)</c:formatCode>
                <c:ptCount val="1"/>
                <c:pt idx="0">
                  <c:v>118377.33</c:v>
                </c:pt>
              </c:numCache>
            </c:numRef>
          </c:val>
        </c:ser>
        <c:gapWidth val="150"/>
        <c:overlap val="0"/>
        <c:axId val="6084600"/>
        <c:axId val="6165814"/>
      </c:barChart>
      <c:catAx>
        <c:axId val="608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5814"/>
        <c:crosses val="autoZero"/>
        <c:auto val="1"/>
        <c:lblAlgn val="ctr"/>
        <c:lblOffset val="100"/>
        <c:noMultiLvlLbl val="0"/>
      </c:catAx>
      <c:valAx>
        <c:axId val="6165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46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Margem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c65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COMPARATIVO!$B$14</c:f>
              <c:numCache>
                <c:formatCode>0.0%</c:formatCode>
                <c:ptCount val="1"/>
                <c:pt idx="0">
                  <c:v>-1.06207883125787</c:v>
                </c:pt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COMPARATIVO!$C$14</c:f>
              <c:numCache>
                <c:formatCode>0.0%</c:formatCode>
                <c:ptCount val="1"/>
                <c:pt idx="0">
                  <c:v>0.0310188329957752</c:v>
                </c:pt>
              </c:numCache>
            </c:numRef>
          </c:val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COMPARATIVO!$B$4:$D$4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AGRESSIVO</c:v>
                </c:pt>
              </c:strCache>
            </c:strRef>
          </c:cat>
          <c:val>
            <c:numRef>
              <c:f>COMPARATIVO!$D$14</c:f>
              <c:numCache>
                <c:formatCode>0.0%</c:formatCode>
                <c:ptCount val="1"/>
                <c:pt idx="0">
                  <c:v>0.171705680136927</c:v>
                </c:pt>
              </c:numCache>
            </c:numRef>
          </c:val>
        </c:ser>
        <c:gapWidth val="150"/>
        <c:overlap val="0"/>
        <c:axId val="93560443"/>
        <c:axId val="8004820"/>
      </c:barChart>
      <c:catAx>
        <c:axId val="93560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4820"/>
        <c:crosses val="autoZero"/>
        <c:auto val="1"/>
        <c:lblAlgn val="ctr"/>
        <c:lblOffset val="100"/>
        <c:noMultiLvlLbl val="0"/>
      </c:catAx>
      <c:valAx>
        <c:axId val="80048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604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145440</xdr:rowOff>
    </xdr:from>
    <xdr:to>
      <xdr:col>1</xdr:col>
      <xdr:colOff>937080</xdr:colOff>
      <xdr:row>33</xdr:row>
      <xdr:rowOff>188640</xdr:rowOff>
    </xdr:to>
    <xdr:graphicFrame>
      <xdr:nvGraphicFramePr>
        <xdr:cNvPr id="0" name="Chart 1"/>
        <xdr:cNvGraphicFramePr/>
      </xdr:nvGraphicFramePr>
      <xdr:xfrm>
        <a:off x="0" y="4000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145440</xdr:rowOff>
    </xdr:from>
    <xdr:to>
      <xdr:col>10</xdr:col>
      <xdr:colOff>165240</xdr:colOff>
      <xdr:row>33</xdr:row>
      <xdr:rowOff>188640</xdr:rowOff>
    </xdr:to>
    <xdr:graphicFrame>
      <xdr:nvGraphicFramePr>
        <xdr:cNvPr id="1" name="Chart 2"/>
        <xdr:cNvGraphicFramePr/>
      </xdr:nvGraphicFramePr>
      <xdr:xfrm>
        <a:off x="8048520" y="4000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35</xdr:row>
      <xdr:rowOff>145440</xdr:rowOff>
    </xdr:from>
    <xdr:to>
      <xdr:col>1</xdr:col>
      <xdr:colOff>937080</xdr:colOff>
      <xdr:row>48</xdr:row>
      <xdr:rowOff>188640</xdr:rowOff>
    </xdr:to>
    <xdr:graphicFrame>
      <xdr:nvGraphicFramePr>
        <xdr:cNvPr id="2" name="Chart 3"/>
        <xdr:cNvGraphicFramePr/>
      </xdr:nvGraphicFramePr>
      <xdr:xfrm>
        <a:off x="0" y="68580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35</xdr:row>
      <xdr:rowOff>145440</xdr:rowOff>
    </xdr:from>
    <xdr:to>
      <xdr:col>10</xdr:col>
      <xdr:colOff>165240</xdr:colOff>
      <xdr:row>48</xdr:row>
      <xdr:rowOff>188640</xdr:rowOff>
    </xdr:to>
    <xdr:graphicFrame>
      <xdr:nvGraphicFramePr>
        <xdr:cNvPr id="3" name="Chart 4"/>
        <xdr:cNvGraphicFramePr/>
      </xdr:nvGraphicFramePr>
      <xdr:xfrm>
        <a:off x="8048520" y="685800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2"/>
    <col collapsed="false" customWidth="true" hidden="false" outlineLevel="0" max="11" min="10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D4" s="4" t="s">
        <v>3</v>
      </c>
      <c r="E4" s="4"/>
      <c r="G4" s="5" t="s">
        <v>4</v>
      </c>
      <c r="H4" s="5"/>
    </row>
    <row r="5" customFormat="false" ht="15" hidden="false" customHeight="false" outlineLevel="0" collapsed="false">
      <c r="A5" s="6" t="s">
        <v>5</v>
      </c>
      <c r="B5" s="7" t="n">
        <f aca="false">Cenarios!$J$10</f>
        <v>195458</v>
      </c>
      <c r="D5" s="6" t="s">
        <v>5</v>
      </c>
      <c r="E5" s="7" t="n">
        <f aca="false">Cenarios!$J$11</f>
        <v>491026.5</v>
      </c>
      <c r="G5" s="6" t="s">
        <v>5</v>
      </c>
      <c r="H5" s="7" t="n">
        <f aca="false">Cenarios!$J$12</f>
        <v>689420</v>
      </c>
    </row>
    <row r="6" customFormat="false" ht="15" hidden="false" customHeight="false" outlineLevel="0" collapsed="false">
      <c r="A6" s="6" t="s">
        <v>6</v>
      </c>
      <c r="B6" s="7" t="n">
        <f aca="false">Cenarios!$F$10</f>
        <v>113758</v>
      </c>
      <c r="D6" s="6" t="s">
        <v>6</v>
      </c>
      <c r="E6" s="7" t="n">
        <f aca="false">Cenarios!$F$11</f>
        <v>278520.8</v>
      </c>
      <c r="G6" s="6" t="s">
        <v>6</v>
      </c>
      <c r="H6" s="7" t="n">
        <f aca="false">Cenarios!$F$12</f>
        <v>321770</v>
      </c>
    </row>
    <row r="7" customFormat="false" ht="15" hidden="false" customHeight="false" outlineLevel="0" collapsed="false">
      <c r="A7" s="6" t="s">
        <v>7</v>
      </c>
      <c r="B7" s="7" t="n">
        <f aca="false">Cenarios!$H$10</f>
        <v>47820</v>
      </c>
      <c r="D7" s="6" t="s">
        <v>7</v>
      </c>
      <c r="E7" s="7" t="n">
        <f aca="false">Cenarios!$H$11</f>
        <v>127000</v>
      </c>
      <c r="G7" s="6" t="s">
        <v>7</v>
      </c>
      <c r="H7" s="7" t="n">
        <f aca="false">Cenarios!$H$12</f>
        <v>257400</v>
      </c>
    </row>
    <row r="8" customFormat="false" ht="15" hidden="false" customHeight="false" outlineLevel="0" collapsed="false">
      <c r="A8" s="6" t="s">
        <v>8</v>
      </c>
      <c r="B8" s="7" t="n">
        <f aca="false">Cenarios!$G$10</f>
        <v>33880</v>
      </c>
      <c r="D8" s="6" t="s">
        <v>8</v>
      </c>
      <c r="E8" s="7" t="n">
        <f aca="false">Cenarios!$G$11</f>
        <v>85505.7</v>
      </c>
      <c r="G8" s="6" t="s">
        <v>8</v>
      </c>
      <c r="H8" s="7" t="n">
        <f aca="false">Cenarios!$G$12</f>
        <v>110250</v>
      </c>
    </row>
    <row r="9" customFormat="false" ht="15" hidden="false" customHeight="false" outlineLevel="0" collapsed="false">
      <c r="A9" s="6" t="s">
        <v>9</v>
      </c>
      <c r="B9" s="7" t="n">
        <f aca="false">Cenarios!$K$10</f>
        <v>403049.8042</v>
      </c>
      <c r="D9" s="6" t="s">
        <v>9</v>
      </c>
      <c r="E9" s="7" t="n">
        <f aca="false">Cenarios!$K$11</f>
        <v>475795.431</v>
      </c>
      <c r="G9" s="6" t="s">
        <v>9</v>
      </c>
      <c r="H9" s="7" t="n">
        <f aca="false">Cenarios!$K$12</f>
        <v>571042.67</v>
      </c>
    </row>
    <row r="10" customFormat="false" ht="15" hidden="false" customHeight="false" outlineLevel="0" collapsed="false">
      <c r="A10" s="6" t="s">
        <v>10</v>
      </c>
      <c r="B10" s="7" t="n">
        <f aca="false">Cenarios!$L$10</f>
        <v>-207591.8042</v>
      </c>
      <c r="D10" s="6" t="s">
        <v>10</v>
      </c>
      <c r="E10" s="7" t="n">
        <f aca="false">Cenarios!$L$11</f>
        <v>15231.069</v>
      </c>
      <c r="G10" s="6" t="s">
        <v>10</v>
      </c>
      <c r="H10" s="7" t="n">
        <f aca="false">Cenarios!$L$12</f>
        <v>118377.33</v>
      </c>
    </row>
    <row r="11" customFormat="false" ht="15" hidden="false" customHeight="false" outlineLevel="0" collapsed="false">
      <c r="A11" s="6" t="s">
        <v>11</v>
      </c>
      <c r="B11" s="8" t="n">
        <f aca="false">Cenarios!$M$10</f>
        <v>-1.06207883125787</v>
      </c>
      <c r="D11" s="6" t="s">
        <v>11</v>
      </c>
      <c r="E11" s="8" t="n">
        <f aca="false">Cenarios!$M$11</f>
        <v>0.0310188329957752</v>
      </c>
      <c r="G11" s="6" t="s">
        <v>11</v>
      </c>
      <c r="H11" s="8" t="n">
        <f aca="false">Cenarios!$M$12</f>
        <v>0.171705680136927</v>
      </c>
    </row>
    <row r="12" customFormat="false" ht="15" hidden="false" customHeight="false" outlineLevel="0" collapsed="false">
      <c r="A12" s="6" t="s">
        <v>12</v>
      </c>
      <c r="B12" s="9" t="n">
        <f aca="false">Cenarios!$B$10</f>
        <v>1540</v>
      </c>
      <c r="D12" s="6" t="s">
        <v>12</v>
      </c>
      <c r="E12" s="9" t="n">
        <f aca="false">Cenarios!$B$11</f>
        <v>2850</v>
      </c>
      <c r="G12" s="6" t="s">
        <v>12</v>
      </c>
      <c r="H12" s="9" t="n">
        <f aca="false">Cenarios!$B$12</f>
        <v>3150</v>
      </c>
    </row>
    <row r="13" customFormat="false" ht="15" hidden="false" customHeight="false" outlineLevel="0" collapsed="false">
      <c r="A13" s="6" t="s">
        <v>13</v>
      </c>
      <c r="B13" s="8" t="n">
        <f aca="false">Cenarios!$D$10</f>
        <v>0.754545454545455</v>
      </c>
      <c r="D13" s="6" t="s">
        <v>13</v>
      </c>
      <c r="E13" s="8" t="n">
        <f aca="false">Cenarios!$D$11</f>
        <v>1</v>
      </c>
      <c r="G13" s="6" t="s">
        <v>13</v>
      </c>
      <c r="H13" s="8" t="n">
        <f aca="false">Cenarios!$D$12</f>
        <v>0.951428571428571</v>
      </c>
    </row>
    <row r="14" customFormat="false" ht="15" hidden="false" customHeight="false" outlineLevel="0" collapsed="false">
      <c r="A14" s="6" t="s">
        <v>14</v>
      </c>
      <c r="B14" s="10" t="n">
        <f aca="false">Cenarios!$E$10</f>
        <v>80.2922077922078</v>
      </c>
      <c r="D14" s="6" t="s">
        <v>14</v>
      </c>
      <c r="E14" s="10" t="n">
        <f aca="false">Cenarios!$E$11</f>
        <v>106.224561403509</v>
      </c>
      <c r="G14" s="6" t="s">
        <v>14</v>
      </c>
      <c r="H14" s="10" t="n">
        <f aca="false">Cenarios!$E$12</f>
        <v>111.031746031746</v>
      </c>
    </row>
    <row r="15" customFormat="false" ht="15" hidden="false" customHeight="false" outlineLevel="0" collapsed="false">
      <c r="A15" s="6" t="s">
        <v>15</v>
      </c>
      <c r="B15" s="9" t="n">
        <f aca="false">Cenarios!$R$10</f>
        <v>3705.37326750566</v>
      </c>
      <c r="D15" s="6" t="s">
        <v>15</v>
      </c>
      <c r="E15" s="9" t="n">
        <f aca="false">Cenarios!$R$11</f>
        <v>2730.75443230095</v>
      </c>
      <c r="G15" s="6" t="s">
        <v>15</v>
      </c>
      <c r="H15" s="9" t="n">
        <f aca="false">Cenarios!$R$12</f>
        <v>2286.87192838295</v>
      </c>
    </row>
    <row r="16" customFormat="false" ht="15" hidden="false" customHeight="false" outlineLevel="0" collapsed="false">
      <c r="A16" s="6" t="s">
        <v>16</v>
      </c>
      <c r="B16" s="8" t="n">
        <f aca="false">Cenarios!$S$10</f>
        <v>1.68426057613893</v>
      </c>
      <c r="D16" s="6" t="s">
        <v>16</v>
      </c>
      <c r="E16" s="8" t="n">
        <f aca="false">Cenarios!$S$11</f>
        <v>0.910251477433648</v>
      </c>
      <c r="G16" s="6" t="s">
        <v>16</v>
      </c>
      <c r="H16" s="8" t="n">
        <f aca="false">Cenarios!$S$12</f>
        <v>0.653391979537985</v>
      </c>
    </row>
    <row r="17" customFormat="false" ht="15" hidden="false" customHeight="false" outlineLevel="0" collapsed="false">
      <c r="A17" s="6" t="s">
        <v>17</v>
      </c>
      <c r="B17" s="10" t="n">
        <f aca="false">Cenarios!$N$10</f>
        <v>126.920779220779</v>
      </c>
      <c r="D17" s="6" t="s">
        <v>17</v>
      </c>
      <c r="E17" s="10" t="n">
        <f aca="false">Cenarios!$N$11</f>
        <v>172.29</v>
      </c>
      <c r="G17" s="6" t="s">
        <v>17</v>
      </c>
      <c r="H17" s="10" t="n">
        <f aca="false">Cenarios!$N$12</f>
        <v>218.863492063492</v>
      </c>
    </row>
    <row r="18" customFormat="false" ht="15" hidden="false" customHeight="false" outlineLevel="0" collapsed="false">
      <c r="A18" s="6" t="s">
        <v>18</v>
      </c>
      <c r="B18" s="10" t="n">
        <f aca="false">Cenarios!$O$10</f>
        <v>261.720652077922</v>
      </c>
      <c r="D18" s="6" t="s">
        <v>18</v>
      </c>
      <c r="E18" s="10" t="n">
        <f aca="false">Cenarios!$O$11</f>
        <v>166.945765263158</v>
      </c>
      <c r="G18" s="6" t="s">
        <v>18</v>
      </c>
      <c r="H18" s="10" t="n">
        <f aca="false">Cenarios!$O$12</f>
        <v>181.283387301587</v>
      </c>
    </row>
    <row r="19" customFormat="false" ht="15" hidden="false" customHeight="false" outlineLevel="0" collapsed="false">
      <c r="A19" s="6" t="s">
        <v>19</v>
      </c>
      <c r="B19" s="7" t="n">
        <f aca="false">Cenarios!$U$10</f>
        <v>160000</v>
      </c>
      <c r="D19" s="6" t="s">
        <v>19</v>
      </c>
      <c r="E19" s="7" t="n">
        <f aca="false">Cenarios!$U$11</f>
        <v>180000</v>
      </c>
      <c r="G19" s="6" t="s">
        <v>19</v>
      </c>
      <c r="H19" s="7" t="n">
        <f aca="false">Cenarios!$U$12</f>
        <v>200000</v>
      </c>
    </row>
    <row r="20" customFormat="false" ht="15" hidden="false" customHeight="false" outlineLevel="0" collapsed="false">
      <c r="A20" s="6" t="s">
        <v>20</v>
      </c>
      <c r="B20" s="7" t="n">
        <f aca="false">Cenarios!$H$10</f>
        <v>47820</v>
      </c>
      <c r="D20" s="6" t="s">
        <v>20</v>
      </c>
      <c r="E20" s="7" t="n">
        <f aca="false">Cenarios!$H$11</f>
        <v>127000</v>
      </c>
      <c r="G20" s="6" t="s">
        <v>20</v>
      </c>
      <c r="H20" s="7" t="n">
        <f aca="false">Cenarios!$H$12</f>
        <v>257400</v>
      </c>
    </row>
    <row r="21" customFormat="false" ht="15" hidden="false" customHeight="false" outlineLevel="0" collapsed="false">
      <c r="A21" s="6" t="s">
        <v>21</v>
      </c>
      <c r="B21" s="8" t="n">
        <f aca="false">Cenarios!$H$10/'ENTRADAS PMO'!$C$39</f>
        <v>0.298875</v>
      </c>
      <c r="D21" s="6" t="s">
        <v>21</v>
      </c>
      <c r="E21" s="8" t="n">
        <f aca="false">Cenarios!$H$11/'ENTRADAS PMO'!$D$39</f>
        <v>0.705555555555556</v>
      </c>
      <c r="G21" s="6" t="s">
        <v>21</v>
      </c>
      <c r="H21" s="8" t="n">
        <f aca="false">Cenarios!$H$12/'ENTRADAS PMO'!$E$39</f>
        <v>1.287</v>
      </c>
    </row>
    <row r="22" customFormat="false" ht="15" hidden="false" customHeight="false" outlineLevel="0" collapsed="false">
      <c r="A22" s="6" t="s">
        <v>22</v>
      </c>
      <c r="B22" s="8" t="n">
        <f aca="false">Cenarios!$T$10</f>
        <v>-1.40608653734134</v>
      </c>
      <c r="D22" s="6" t="s">
        <v>22</v>
      </c>
      <c r="E22" s="8" t="n">
        <f aca="false">Cenarios!$T$11</f>
        <v>0.0418405500698438</v>
      </c>
      <c r="G22" s="6" t="s">
        <v>22</v>
      </c>
      <c r="H22" s="8" t="n">
        <f aca="false">Cenarios!$T$12</f>
        <v>0.274008911624462</v>
      </c>
    </row>
    <row r="23" customFormat="false" ht="15" hidden="false" customHeight="false" outlineLevel="0" collapsed="false">
      <c r="A23" s="11" t="s">
        <v>23</v>
      </c>
      <c r="B23" s="12" t="str">
        <f aca="false">Cenarios!$V$10</f>
        <v>VERMELHO</v>
      </c>
      <c r="D23" s="11" t="s">
        <v>23</v>
      </c>
      <c r="E23" s="12" t="str">
        <f aca="false">Cenarios!$V$11</f>
        <v>AMARELO</v>
      </c>
      <c r="G23" s="11" t="s">
        <v>23</v>
      </c>
      <c r="H23" s="12" t="str">
        <f aca="false">Cenarios!$V$12</f>
        <v>VERDE</v>
      </c>
    </row>
    <row r="24" customFormat="false" ht="15" hidden="false" customHeight="false" outlineLevel="0" collapsed="false">
      <c r="A24" s="11" t="s">
        <v>24</v>
      </c>
      <c r="B24" s="12" t="str">
        <f aca="false">Cenarios!$W$10</f>
        <v>NO-GO</v>
      </c>
      <c r="D24" s="11" t="s">
        <v>24</v>
      </c>
      <c r="E24" s="12" t="str">
        <f aca="false">Cenarios!$W$11</f>
        <v>GO COM RESSALVAS</v>
      </c>
      <c r="G24" s="11" t="s">
        <v>24</v>
      </c>
      <c r="H24" s="12" t="str">
        <f aca="false">Cenarios!$W$12</f>
        <v>GO</v>
      </c>
    </row>
    <row r="26" customFormat="false" ht="15" hidden="false" customHeight="false" outlineLevel="0" collapsed="false">
      <c r="A26" s="13" t="s">
        <v>25</v>
      </c>
      <c r="B26" s="14"/>
      <c r="C26" s="14"/>
      <c r="D26" s="14"/>
      <c r="E26" s="14"/>
      <c r="F26" s="14"/>
      <c r="G26" s="14"/>
      <c r="H26" s="14"/>
    </row>
    <row r="27" customFormat="false" ht="15" hidden="false" customHeight="false" outlineLevel="0" collapsed="false">
      <c r="A27" s="6" t="s">
        <v>26</v>
      </c>
      <c r="B27" s="7" t="n">
        <f aca="false">Cenarios!$J$11</f>
        <v>491026.5</v>
      </c>
      <c r="D27" s="6" t="s">
        <v>27</v>
      </c>
      <c r="E27" s="7" t="n">
        <f aca="false">'ENTRADAS PMO'!$D$22</f>
        <v>60000</v>
      </c>
      <c r="G27" s="6" t="s">
        <v>28</v>
      </c>
      <c r="H27" s="7" t="n">
        <f aca="false">CUSTOS!$C$52</f>
        <v>475795.431</v>
      </c>
    </row>
    <row r="28" customFormat="false" ht="15" hidden="false" customHeight="false" outlineLevel="0" collapsed="false">
      <c r="A28" s="6" t="s">
        <v>29</v>
      </c>
      <c r="B28" s="7" t="n">
        <f aca="false">CUSTOS!$C$54</f>
        <v>0</v>
      </c>
      <c r="D28" s="6" t="s">
        <v>30</v>
      </c>
      <c r="E28" s="7" t="n">
        <f aca="false">Cenarios!$L$11</f>
        <v>15231.069</v>
      </c>
      <c r="G28" s="6" t="s">
        <v>31</v>
      </c>
      <c r="H28" s="8" t="n">
        <f aca="false">Cenarios!$M$11</f>
        <v>0.0310188329957752</v>
      </c>
    </row>
    <row r="29" customFormat="false" ht="15" hidden="false" customHeight="false" outlineLevel="0" collapsed="false">
      <c r="A29" s="6" t="s">
        <v>32</v>
      </c>
      <c r="B29" s="9" t="n">
        <f aca="false">Cenarios!$R$11</f>
        <v>2730.75443230095</v>
      </c>
      <c r="D29" s="6" t="s">
        <v>33</v>
      </c>
      <c r="E29" s="9" t="n">
        <f aca="false">VENDAS!$C$47</f>
        <v>0</v>
      </c>
      <c r="G29" s="6" t="s">
        <v>34</v>
      </c>
      <c r="H29" s="9" t="n">
        <f aca="false">VENDAS!$C$52</f>
        <v>2850</v>
      </c>
    </row>
    <row r="30" customFormat="false" ht="15" hidden="false" customHeight="false" outlineLevel="0" collapsed="false">
      <c r="A30" s="6" t="s">
        <v>35</v>
      </c>
      <c r="B30" s="8" t="n">
        <f aca="false">Cenarios!$D$11</f>
        <v>1</v>
      </c>
      <c r="D30" s="6" t="s">
        <v>36</v>
      </c>
      <c r="E30" s="10" t="n">
        <f aca="false">Cenarios!$E$11</f>
        <v>106.224561403509</v>
      </c>
      <c r="G30" s="6" t="s">
        <v>37</v>
      </c>
      <c r="H30" s="7" t="n">
        <f aca="false">'ENTRADAS PMO'!$D$22</f>
        <v>60000</v>
      </c>
    </row>
    <row r="31" customFormat="false" ht="15" hidden="false" customHeight="false" outlineLevel="0" collapsed="false">
      <c r="A31" s="6" t="s">
        <v>38</v>
      </c>
      <c r="B31" s="7" t="n">
        <f aca="false">'ENTRADAS PMO'!$D$23</f>
        <v>160000</v>
      </c>
      <c r="D31" s="6" t="s">
        <v>39</v>
      </c>
      <c r="E31" s="8" t="n">
        <f aca="false">Cenarios!$H$11/'ENTRADAS PMO'!$D$39</f>
        <v>0.705555555555556</v>
      </c>
      <c r="G31" s="6" t="s">
        <v>40</v>
      </c>
      <c r="H31" s="7" t="n">
        <f aca="false">'FLUXO DE CAIXA'!$B$65</f>
        <v>12483.96</v>
      </c>
    </row>
    <row r="32" customFormat="false" ht="15" hidden="false" customHeight="false" outlineLevel="0" collapsed="false">
      <c r="A32" s="6" t="s">
        <v>41</v>
      </c>
      <c r="B32" s="7" t="n">
        <f aca="false">CUSTOS!F49-CUSTOS!H49</f>
        <v>35244.106</v>
      </c>
      <c r="D32" s="6" t="s">
        <v>42</v>
      </c>
      <c r="E32" s="7" t="n">
        <f aca="false">CUSTOS!$C$52-'ENTRADAS PMO'!$D$22</f>
        <v>415795.431</v>
      </c>
      <c r="G32" s="6" t="s">
        <v>43</v>
      </c>
      <c r="H32" s="7" t="n">
        <f aca="false">CUSTOS!$C$55</f>
        <v>475795.431</v>
      </c>
    </row>
    <row r="35" customFormat="false" ht="15" hidden="false" customHeight="false" outlineLevel="0" collapsed="false">
      <c r="A35" s="13" t="s">
        <v>44</v>
      </c>
      <c r="B35" s="14"/>
      <c r="C35" s="14"/>
      <c r="D35" s="14"/>
      <c r="E35" s="14"/>
      <c r="F35" s="14"/>
      <c r="G35" s="14"/>
      <c r="H35" s="14"/>
    </row>
    <row r="36" customFormat="false" ht="15" hidden="false" customHeight="false" outlineLevel="0" collapsed="false">
      <c r="A36" s="6" t="s">
        <v>45</v>
      </c>
      <c r="B36" s="15" t="n">
        <f aca="false">VENDAS!$C$45</f>
        <v>46268</v>
      </c>
      <c r="D36" s="6" t="s">
        <v>46</v>
      </c>
      <c r="E36" s="15" t="n">
        <f aca="false">VENDAS!$C$46</f>
        <v>0</v>
      </c>
      <c r="G36" s="6" t="s">
        <v>47</v>
      </c>
      <c r="H36" s="9" t="n">
        <f aca="false">VENDAS!$C$54</f>
        <v>0</v>
      </c>
    </row>
    <row r="37" customFormat="false" ht="15" hidden="false" customHeight="false" outlineLevel="0" collapsed="false">
      <c r="A37" s="6" t="s">
        <v>48</v>
      </c>
      <c r="B37" s="9" t="n">
        <f aca="false">VENDAS!$C$47</f>
        <v>0</v>
      </c>
      <c r="D37" s="6" t="s">
        <v>49</v>
      </c>
      <c r="E37" s="8" t="n">
        <f aca="false">VENDAS!$C$49</f>
        <v>0</v>
      </c>
      <c r="G37" s="6" t="s">
        <v>50</v>
      </c>
      <c r="H37" s="9" t="n">
        <f aca="false">VENDAS!$C$52</f>
        <v>2850</v>
      </c>
    </row>
    <row r="38" customFormat="false" ht="15" hidden="false" customHeight="false" outlineLevel="0" collapsed="false">
      <c r="A38" s="6" t="s">
        <v>51</v>
      </c>
      <c r="B38" s="16" t="n">
        <f aca="false">VENDAS!$C$55</f>
        <v>0</v>
      </c>
      <c r="D38" s="6" t="s">
        <v>52</v>
      </c>
      <c r="E38" s="16" t="n">
        <f aca="false">VENDAS!$C$56</f>
        <v>0</v>
      </c>
      <c r="G38" s="6" t="s">
        <v>53</v>
      </c>
      <c r="H38" s="9" t="n">
        <f aca="false">VENDAS!$C$57</f>
        <v>0</v>
      </c>
    </row>
    <row r="42" customFormat="false" ht="15" hidden="false" customHeight="false" outlineLevel="0" collapsed="false">
      <c r="A42" s="13" t="s">
        <v>54</v>
      </c>
      <c r="B42" s="14"/>
      <c r="C42" s="14"/>
      <c r="D42" s="14"/>
      <c r="E42" s="14"/>
      <c r="F42" s="14"/>
      <c r="G42" s="14"/>
      <c r="H42" s="14"/>
    </row>
    <row r="43" customFormat="false" ht="16.15" hidden="false" customHeight="false" outlineLevel="0" collapsed="false">
      <c r="A43" s="11" t="s">
        <v>55</v>
      </c>
      <c r="B43" s="17" t="str">
        <f aca="false">Cenarios!$W$11</f>
        <v>GO COM RESSALVAS</v>
      </c>
    </row>
    <row r="44" customFormat="false" ht="15" hidden="false" customHeight="false" outlineLevel="0" collapsed="false">
      <c r="A44" s="6" t="s">
        <v>56</v>
      </c>
      <c r="B44" s="7" t="n">
        <f aca="false">Cenarios!$L$11</f>
        <v>15231.069</v>
      </c>
    </row>
    <row r="45" customFormat="false" ht="15" hidden="false" customHeight="false" outlineLevel="0" collapsed="false">
      <c r="A45" s="6" t="s">
        <v>57</v>
      </c>
      <c r="B45" s="8" t="n">
        <f aca="false">Cenarios!$M$11</f>
        <v>0.0310188329957752</v>
      </c>
    </row>
    <row r="46" customFormat="false" ht="15" hidden="false" customHeight="false" outlineLevel="0" collapsed="false">
      <c r="A46" s="6" t="s">
        <v>58</v>
      </c>
      <c r="B46" s="9" t="n">
        <f aca="false">Cenarios!$R$11</f>
        <v>2730.75443230095</v>
      </c>
    </row>
    <row r="47" customFormat="false" ht="15" hidden="false" customHeight="false" outlineLevel="0" collapsed="false">
      <c r="A47" s="6" t="s">
        <v>59</v>
      </c>
      <c r="B47" s="18" t="n">
        <f aca="false">MAX(0,Cenarios!$U$11-'ENTRADAS PMO'!$D$22)</f>
        <v>120000</v>
      </c>
    </row>
    <row r="48" customFormat="false" ht="15" hidden="false" customHeight="false" outlineLevel="0" collapsed="false">
      <c r="A48" s="6" t="s">
        <v>60</v>
      </c>
      <c r="B48" s="19" t="n">
        <f aca="false">'SCORE VIABILIDADE'!$B$18</f>
        <v>32.9410680458495</v>
      </c>
    </row>
    <row r="49" customFormat="false" ht="15" hidden="false" customHeight="false" outlineLevel="0" collapsed="false">
      <c r="A49" s="6" t="s">
        <v>61</v>
      </c>
      <c r="B49" s="20" t="str">
        <f aca="false">IFERROR(INDEX(RISCOS!$C$5:$C$20,MATCH(MAX(RISCOS!$O$5:$O$20),RISCOS!$O$5:$O$20,0)),"—")</f>
        <v>Não fechamento das cotas em negociação</v>
      </c>
      <c r="C49" s="20"/>
      <c r="D49" s="20"/>
      <c r="E49" s="20"/>
    </row>
    <row r="50" customFormat="false" ht="15" hidden="false" customHeight="false" outlineLevel="0" collapsed="false">
      <c r="A50" s="11" t="s">
        <v>62</v>
      </c>
      <c r="B50" s="20" t="str">
        <f aca="false">IF(Cenarios!$W$11="NO-GO","Revisar premissas comerciais e de custo do cenário Base antes de assumir novos compromissos financeiros",IF(RISCOS!$B$32&gt;0,"Tratar os riscos críticos abertos na aba RISCOS antes do próximo Gate",IF('GATES PMO'!$D$6&lt;'GATES PMO'!$C$6,"Avançar negociações de patrocínio antes de contratar definitivamente a atração principal (GATE 2)","Manter ritmo de vendas e patrocínio; revisar Dashboard semanalmente")))</f>
        <v>Tratar os riscos críticos abertos na aba RISCOS antes do próximo Gate</v>
      </c>
      <c r="C50" s="20"/>
      <c r="D50" s="20"/>
      <c r="E50" s="20"/>
    </row>
  </sheetData>
  <sheetProtection sheet="true" formatCells="false" formatColumns="false" formatRows="false" sort="false" autoFilter="false"/>
  <mergeCells count="5">
    <mergeCell ref="A4:B4"/>
    <mergeCell ref="D4:E4"/>
    <mergeCell ref="G4:H4"/>
    <mergeCell ref="B49:E49"/>
    <mergeCell ref="B50:E50"/>
  </mergeCells>
  <conditionalFormatting sqref="B23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"AMARELO"</formula>
    </cfRule>
    <cfRule type="cellIs" priority="4" operator="equal" aboveAverage="0" equalAverage="0" bottom="0" percent="0" rank="0" text="" dxfId="2">
      <formula>"VERMELHO"</formula>
    </cfRule>
  </conditionalFormatting>
  <conditionalFormatting sqref="B24"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1">
      <formula>"GO COM RESSALVAS"</formula>
    </cfRule>
    <cfRule type="cellIs" priority="7" operator="equal" aboveAverage="0" equalAverage="0" bottom="0" percent="0" rank="0" text="" dxfId="2">
      <formula>"NO-GO"</formula>
    </cfRule>
  </conditionalFormatting>
  <conditionalFormatting sqref="E23">
    <cfRule type="cellIs" priority="8" operator="equal" aboveAverage="0" equalAverage="0" bottom="0" percent="0" rank="0" text="" dxfId="0">
      <formula>"VERDE"</formula>
    </cfRule>
    <cfRule type="cellIs" priority="9" operator="equal" aboveAverage="0" equalAverage="0" bottom="0" percent="0" rank="0" text="" dxfId="1">
      <formula>"AMARELO"</formula>
    </cfRule>
    <cfRule type="cellIs" priority="10" operator="equal" aboveAverage="0" equalAverage="0" bottom="0" percent="0" rank="0" text="" dxfId="2">
      <formula>"VERMELHO"</formula>
    </cfRule>
  </conditionalFormatting>
  <conditionalFormatting sqref="E24">
    <cfRule type="cellIs" priority="11" operator="equal" aboveAverage="0" equalAverage="0" bottom="0" percent="0" rank="0" text="" dxfId="0">
      <formula>"GO"</formula>
    </cfRule>
    <cfRule type="cellIs" priority="12" operator="equal" aboveAverage="0" equalAverage="0" bottom="0" percent="0" rank="0" text="" dxfId="1">
      <formula>"GO COM RESSALVAS"</formula>
    </cfRule>
    <cfRule type="cellIs" priority="13" operator="equal" aboveAverage="0" equalAverage="0" bottom="0" percent="0" rank="0" text="" dxfId="2">
      <formula>"NO-GO"</formula>
    </cfRule>
  </conditionalFormatting>
  <conditionalFormatting sqref="H23">
    <cfRule type="cellIs" priority="14" operator="equal" aboveAverage="0" equalAverage="0" bottom="0" percent="0" rank="0" text="" dxfId="0">
      <formula>"VERDE"</formula>
    </cfRule>
    <cfRule type="cellIs" priority="15" operator="equal" aboveAverage="0" equalAverage="0" bottom="0" percent="0" rank="0" text="" dxfId="1">
      <formula>"AMARELO"</formula>
    </cfRule>
    <cfRule type="cellIs" priority="16" operator="equal" aboveAverage="0" equalAverage="0" bottom="0" percent="0" rank="0" text="" dxfId="2">
      <formula>"VERMELHO"</formula>
    </cfRule>
  </conditionalFormatting>
  <conditionalFormatting sqref="H24">
    <cfRule type="cellIs" priority="17" operator="equal" aboveAverage="0" equalAverage="0" bottom="0" percent="0" rank="0" text="" dxfId="0">
      <formula>"GO"</formula>
    </cfRule>
    <cfRule type="cellIs" priority="18" operator="equal" aboveAverage="0" equalAverage="0" bottom="0" percent="0" rank="0" text="" dxfId="1">
      <formula>"GO COM RESSALVAS"</formula>
    </cfRule>
    <cfRule type="cellIs" priority="19" operator="equal" aboveAverage="0" equalAverage="0" bottom="0" percent="0" rank="0" text="" dxfId="2">
      <formula>"NO-GO"</formula>
    </cfRule>
  </conditionalFormatting>
  <conditionalFormatting sqref="B43">
    <cfRule type="cellIs" priority="20" operator="equal" aboveAverage="0" equalAverage="0" bottom="0" percent="0" rank="0" text="" dxfId="3">
      <formula>"GO"</formula>
    </cfRule>
    <cfRule type="cellIs" priority="21" operator="equal" aboveAverage="0" equalAverage="0" bottom="0" percent="0" rank="0" text="" dxfId="4">
      <formula>"GO COM RESSALVAS"</formula>
    </cfRule>
    <cfRule type="cellIs" priority="22" operator="equal" aboveAverage="0" equalAverage="0" bottom="0" percent="0" rank="0" text="" dxfId="5">
      <formula>"NO-GO"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42"/>
  </cols>
  <sheetData>
    <row r="1" customFormat="false" ht="18.55" hidden="false" customHeight="false" outlineLevel="0" collapsed="false">
      <c r="A1" s="21" t="s">
        <v>63</v>
      </c>
    </row>
    <row r="2" customFormat="false" ht="15" hidden="false" customHeight="false" outlineLevel="0" collapsed="false">
      <c r="A2" s="2" t="s">
        <v>64</v>
      </c>
    </row>
    <row r="4" customFormat="false" ht="23.85" hidden="false" customHeight="false" outlineLevel="0" collapsed="false">
      <c r="A4" s="22" t="s">
        <v>65</v>
      </c>
      <c r="B4" s="22" t="s">
        <v>66</v>
      </c>
      <c r="C4" s="22" t="s">
        <v>67</v>
      </c>
      <c r="D4" s="22" t="s">
        <v>68</v>
      </c>
      <c r="E4" s="22" t="s">
        <v>69</v>
      </c>
      <c r="F4" s="22" t="s">
        <v>70</v>
      </c>
    </row>
    <row r="5" customFormat="false" ht="15.75" hidden="false" customHeight="true" outlineLevel="0" collapsed="false">
      <c r="A5" s="13" t="s">
        <v>71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23"/>
      <c r="B6" s="24" t="s">
        <v>72</v>
      </c>
      <c r="C6" s="25" t="n">
        <v>2200</v>
      </c>
      <c r="D6" s="25" t="n">
        <v>3000</v>
      </c>
      <c r="E6" s="25" t="n">
        <v>3500</v>
      </c>
      <c r="F6" s="6" t="s">
        <v>73</v>
      </c>
    </row>
    <row r="7" customFormat="false" ht="15" hidden="false" customHeight="false" outlineLevel="0" collapsed="false">
      <c r="A7" s="23"/>
      <c r="B7" s="24" t="s">
        <v>74</v>
      </c>
      <c r="C7" s="25" t="n">
        <v>120</v>
      </c>
      <c r="D7" s="25" t="n">
        <v>150</v>
      </c>
      <c r="E7" s="25" t="n">
        <v>180</v>
      </c>
      <c r="F7" s="6" t="s">
        <v>75</v>
      </c>
    </row>
    <row r="8" customFormat="false" ht="15" hidden="false" customHeight="false" outlineLevel="0" collapsed="false">
      <c r="A8" s="23"/>
      <c r="B8" s="24" t="s">
        <v>76</v>
      </c>
      <c r="C8" s="26" t="n">
        <f aca="false">VENDAS!$C$12</f>
        <v>1540</v>
      </c>
      <c r="D8" s="26" t="n">
        <f aca="false">VENDAS!$C$25</f>
        <v>2850</v>
      </c>
      <c r="E8" s="26" t="n">
        <f aca="false">VENDAS!$C$38</f>
        <v>3150</v>
      </c>
      <c r="F8" s="6" t="s">
        <v>77</v>
      </c>
    </row>
    <row r="9" customFormat="false" ht="15" hidden="false" customHeight="false" outlineLevel="0" collapsed="false">
      <c r="A9" s="23"/>
      <c r="B9" s="24" t="s">
        <v>78</v>
      </c>
      <c r="C9" s="26" t="n">
        <f aca="false">C8+'ENTRADAS PMO'!$C$7</f>
        <v>1660</v>
      </c>
      <c r="D9" s="26" t="n">
        <f aca="false">D8+'ENTRADAS PMO'!$D$7</f>
        <v>3000</v>
      </c>
      <c r="E9" s="26" t="n">
        <f aca="false">E8+'ENTRADAS PMO'!$E$7</f>
        <v>3330</v>
      </c>
    </row>
    <row r="10" customFormat="false" ht="15" hidden="false" customHeight="false" outlineLevel="0" collapsed="false">
      <c r="A10" s="23"/>
      <c r="B10" s="24" t="s">
        <v>79</v>
      </c>
      <c r="C10" s="27" t="n">
        <f aca="false">C9/'ENTRADAS PMO'!$C$6</f>
        <v>0.754545454545455</v>
      </c>
      <c r="D10" s="27" t="n">
        <f aca="false">D9/'ENTRADAS PMO'!$D$6</f>
        <v>1</v>
      </c>
      <c r="E10" s="27" t="n">
        <f aca="false">E9/'ENTRADAS PMO'!$E$6</f>
        <v>0.951428571428571</v>
      </c>
    </row>
    <row r="12" customFormat="false" ht="15.75" hidden="false" customHeight="true" outlineLevel="0" collapsed="false">
      <c r="A12" s="13" t="s">
        <v>80</v>
      </c>
      <c r="B12" s="14"/>
      <c r="C12" s="14"/>
      <c r="D12" s="14"/>
      <c r="E12" s="14"/>
      <c r="F12" s="14"/>
    </row>
    <row r="13" customFormat="false" ht="15" hidden="false" customHeight="false" outlineLevel="0" collapsed="false">
      <c r="A13" s="23"/>
      <c r="B13" s="24" t="s">
        <v>81</v>
      </c>
      <c r="C13" s="28" t="n">
        <v>0.05</v>
      </c>
      <c r="D13" s="28" t="n">
        <v>0.05</v>
      </c>
      <c r="E13" s="28" t="n">
        <v>0.05</v>
      </c>
      <c r="F13" s="6" t="s">
        <v>82</v>
      </c>
    </row>
    <row r="14" customFormat="false" ht="15" hidden="false" customHeight="false" outlineLevel="0" collapsed="false">
      <c r="A14" s="23"/>
      <c r="B14" s="24" t="s">
        <v>83</v>
      </c>
      <c r="C14" s="28" t="n">
        <v>0.03</v>
      </c>
      <c r="D14" s="28" t="n">
        <v>0.03</v>
      </c>
      <c r="E14" s="28" t="n">
        <v>0.03</v>
      </c>
      <c r="F14" s="6" t="s">
        <v>82</v>
      </c>
    </row>
    <row r="15" customFormat="false" ht="15" hidden="false" customHeight="false" outlineLevel="0" collapsed="false">
      <c r="A15" s="23"/>
      <c r="B15" s="24" t="s">
        <v>84</v>
      </c>
      <c r="C15" s="28" t="n">
        <v>0</v>
      </c>
      <c r="D15" s="28" t="n">
        <v>0</v>
      </c>
      <c r="E15" s="28" t="n">
        <v>0</v>
      </c>
      <c r="F15" s="6" t="s">
        <v>85</v>
      </c>
    </row>
    <row r="16" customFormat="false" ht="15" hidden="false" customHeight="false" outlineLevel="0" collapsed="false">
      <c r="A16" s="23"/>
      <c r="B16" s="24" t="s">
        <v>86</v>
      </c>
      <c r="C16" s="29" t="n">
        <f aca="false">VENDAS!$C$13</f>
        <v>80.2922077922078</v>
      </c>
      <c r="D16" s="29" t="n">
        <f aca="false">VENDAS!$C$26</f>
        <v>106.224561403509</v>
      </c>
      <c r="E16" s="29" t="n">
        <f aca="false">VENDAS!$C$39</f>
        <v>111.031746031746</v>
      </c>
    </row>
    <row r="17" customFormat="false" ht="15" hidden="false" customHeight="false" outlineLevel="0" collapsed="false">
      <c r="A17" s="23"/>
      <c r="B17" s="24" t="s">
        <v>87</v>
      </c>
      <c r="C17" s="18" t="n">
        <f aca="false">VENDAS!$C$14</f>
        <v>123650</v>
      </c>
      <c r="D17" s="18" t="n">
        <f aca="false">VENDAS!$C$27</f>
        <v>302740</v>
      </c>
      <c r="E17" s="18" t="n">
        <f aca="false">VENDAS!$C$40</f>
        <v>349750</v>
      </c>
    </row>
    <row r="18" customFormat="false" ht="15" hidden="false" customHeight="false" outlineLevel="0" collapsed="false">
      <c r="A18" s="23"/>
      <c r="B18" s="24" t="s">
        <v>88</v>
      </c>
      <c r="C18" s="18" t="n">
        <f aca="false">VENDAS!$C$15</f>
        <v>113758</v>
      </c>
      <c r="D18" s="18" t="n">
        <f aca="false">VENDAS!$C$28</f>
        <v>278520.8</v>
      </c>
      <c r="E18" s="18" t="n">
        <f aca="false">VENDAS!$C$41</f>
        <v>321770</v>
      </c>
    </row>
    <row r="20" customFormat="false" ht="15.75" hidden="false" customHeight="true" outlineLevel="0" collapsed="false">
      <c r="A20" s="13" t="s">
        <v>89</v>
      </c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23"/>
      <c r="B21" s="24" t="s">
        <v>90</v>
      </c>
      <c r="C21" s="26" t="n">
        <f aca="false">PATROCINIOS!$B$19</f>
        <v>10</v>
      </c>
      <c r="D21" s="26" t="n">
        <f aca="false">PATROCINIOS!$B$32</f>
        <v>12</v>
      </c>
      <c r="E21" s="26" t="n">
        <f aca="false">PATROCINIOS!$B$45</f>
        <v>16</v>
      </c>
    </row>
    <row r="22" customFormat="false" ht="15" hidden="false" customHeight="false" outlineLevel="0" collapsed="false">
      <c r="A22" s="23"/>
      <c r="B22" s="24" t="s">
        <v>91</v>
      </c>
      <c r="C22" s="18" t="n">
        <f aca="false">PATROCINIOS!$B$20</f>
        <v>0</v>
      </c>
      <c r="D22" s="18" t="n">
        <f aca="false">PATROCINIOS!$B$33</f>
        <v>60000</v>
      </c>
      <c r="E22" s="18" t="n">
        <f aca="false">PATROCINIOS!$B$46</f>
        <v>198000</v>
      </c>
    </row>
    <row r="23" customFormat="false" ht="15" hidden="false" customHeight="false" outlineLevel="0" collapsed="false">
      <c r="A23" s="23"/>
      <c r="B23" s="24" t="s">
        <v>92</v>
      </c>
      <c r="C23" s="18" t="n">
        <f aca="false">PATROCINIOS!$B$21</f>
        <v>174200</v>
      </c>
      <c r="D23" s="18" t="n">
        <f aca="false">PATROCINIOS!$B$34</f>
        <v>160000</v>
      </c>
      <c r="E23" s="18" t="n">
        <f aca="false">PATROCINIOS!$B$47</f>
        <v>150000</v>
      </c>
    </row>
    <row r="24" customFormat="false" ht="15" hidden="false" customHeight="false" outlineLevel="0" collapsed="false">
      <c r="A24" s="23"/>
      <c r="B24" s="24" t="s">
        <v>93</v>
      </c>
      <c r="C24" s="18" t="n">
        <f aca="false">PATROCINIOS!$B$22</f>
        <v>47820</v>
      </c>
      <c r="D24" s="18" t="n">
        <f aca="false">PATROCINIOS!$B$35</f>
        <v>127000</v>
      </c>
      <c r="E24" s="18" t="n">
        <f aca="false">PATROCINIOS!$B$48</f>
        <v>257400</v>
      </c>
    </row>
    <row r="25" customFormat="false" ht="15" hidden="false" customHeight="false" outlineLevel="0" collapsed="false">
      <c r="A25" s="23"/>
      <c r="B25" s="24" t="s">
        <v>94</v>
      </c>
      <c r="C25" s="27" t="n">
        <f aca="false">C24/'ENTRADAS PMO'!$C$39</f>
        <v>0.298875</v>
      </c>
      <c r="D25" s="27" t="n">
        <f aca="false">D24/'ENTRADAS PMO'!$D$39</f>
        <v>0.705555555555556</v>
      </c>
      <c r="E25" s="27" t="n">
        <f aca="false">E24/'ENTRADAS PMO'!$E$39</f>
        <v>1.287</v>
      </c>
    </row>
    <row r="27" customFormat="false" ht="15.75" hidden="false" customHeight="true" outlineLevel="0" collapsed="false">
      <c r="A27" s="13" t="s">
        <v>95</v>
      </c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23"/>
      <c r="B28" s="24" t="s">
        <v>96</v>
      </c>
      <c r="C28" s="30" t="n">
        <v>55</v>
      </c>
      <c r="D28" s="30" t="n">
        <v>70</v>
      </c>
      <c r="E28" s="30" t="n">
        <v>80</v>
      </c>
      <c r="F28" s="6" t="s">
        <v>97</v>
      </c>
    </row>
    <row r="29" customFormat="false" ht="15" hidden="false" customHeight="false" outlineLevel="0" collapsed="false">
      <c r="A29" s="23"/>
      <c r="B29" s="24" t="s">
        <v>98</v>
      </c>
      <c r="C29" s="28" t="n">
        <v>0.6</v>
      </c>
      <c r="D29" s="28" t="n">
        <v>0.5714</v>
      </c>
      <c r="E29" s="28" t="n">
        <v>0.5625</v>
      </c>
      <c r="F29" s="6" t="s">
        <v>99</v>
      </c>
    </row>
    <row r="30" customFormat="false" ht="15" hidden="false" customHeight="false" outlineLevel="0" collapsed="false">
      <c r="A30" s="23"/>
      <c r="B30" s="24" t="s">
        <v>100</v>
      </c>
      <c r="C30" s="29" t="n">
        <f aca="false">'ENTRADAS PMO'!$C$28*(1-'ENTRADAS PMO'!$C$29)</f>
        <v>22</v>
      </c>
      <c r="D30" s="29" t="n">
        <f aca="false">'ENTRADAS PMO'!$D$28*(1-'ENTRADAS PMO'!$D$29)</f>
        <v>30.002</v>
      </c>
      <c r="E30" s="29" t="n">
        <f aca="false">'ENTRADAS PMO'!$E$28*(1-'ENTRADAS PMO'!$E$29)</f>
        <v>35</v>
      </c>
    </row>
    <row r="31" customFormat="false" ht="15" hidden="false" customHeight="false" outlineLevel="0" collapsed="false">
      <c r="A31" s="23"/>
      <c r="B31" s="24" t="s">
        <v>101</v>
      </c>
      <c r="C31" s="18" t="n">
        <f aca="false">'ENTRADAS PMO'!$C$28*C8</f>
        <v>84700</v>
      </c>
      <c r="D31" s="18" t="n">
        <f aca="false">'ENTRADAS PMO'!$D$28*D8</f>
        <v>199500</v>
      </c>
      <c r="E31" s="18" t="n">
        <f aca="false">'ENTRADAS PMO'!$E$28*E8</f>
        <v>252000</v>
      </c>
    </row>
    <row r="32" customFormat="false" ht="15" hidden="false" customHeight="false" outlineLevel="0" collapsed="false">
      <c r="A32" s="23"/>
      <c r="B32" s="24" t="s">
        <v>102</v>
      </c>
      <c r="C32" s="18" t="n">
        <f aca="false">C31*'ENTRADAS PMO'!$C$29</f>
        <v>50820</v>
      </c>
      <c r="D32" s="18" t="n">
        <f aca="false">D31*'ENTRADAS PMO'!$D$29</f>
        <v>113994.3</v>
      </c>
      <c r="E32" s="18" t="n">
        <f aca="false">E31*'ENTRADAS PMO'!$E$29</f>
        <v>141750</v>
      </c>
    </row>
    <row r="33" customFormat="false" ht="15" hidden="false" customHeight="false" outlineLevel="0" collapsed="false">
      <c r="A33" s="23"/>
      <c r="B33" s="24" t="s">
        <v>103</v>
      </c>
      <c r="C33" s="18" t="n">
        <f aca="false">C30*C8</f>
        <v>33880</v>
      </c>
      <c r="D33" s="18" t="n">
        <f aca="false">D30*D8</f>
        <v>85505.7</v>
      </c>
      <c r="E33" s="18" t="n">
        <f aca="false">E30*E8</f>
        <v>110250</v>
      </c>
    </row>
    <row r="35" customFormat="false" ht="15.75" hidden="false" customHeight="true" outlineLevel="0" collapsed="false">
      <c r="A35" s="13" t="s">
        <v>104</v>
      </c>
      <c r="B35" s="14"/>
      <c r="C35" s="14"/>
      <c r="D35" s="14"/>
      <c r="E35" s="14"/>
      <c r="F35" s="14"/>
    </row>
    <row r="36" customFormat="false" ht="15" hidden="false" customHeight="false" outlineLevel="0" collapsed="false">
      <c r="A36" s="23"/>
      <c r="B36" s="24" t="s">
        <v>105</v>
      </c>
      <c r="C36" s="31" t="n">
        <v>0</v>
      </c>
      <c r="D36" s="31" t="n">
        <v>0</v>
      </c>
      <c r="E36" s="31" t="n">
        <v>0</v>
      </c>
      <c r="F36" s="6" t="s">
        <v>106</v>
      </c>
    </row>
    <row r="38" customFormat="false" ht="15.75" hidden="false" customHeight="true" outlineLevel="0" collapsed="false">
      <c r="A38" s="13" t="s">
        <v>107</v>
      </c>
      <c r="B38" s="14"/>
      <c r="C38" s="14"/>
      <c r="D38" s="14"/>
      <c r="E38" s="14"/>
      <c r="F38" s="14"/>
    </row>
    <row r="39" customFormat="false" ht="15" hidden="false" customHeight="false" outlineLevel="0" collapsed="false">
      <c r="A39" s="23"/>
      <c r="B39" s="24" t="s">
        <v>108</v>
      </c>
      <c r="C39" s="31" t="n">
        <v>160000</v>
      </c>
      <c r="D39" s="31" t="n">
        <v>180000</v>
      </c>
      <c r="E39" s="31" t="n">
        <v>200000</v>
      </c>
    </row>
    <row r="40" customFormat="false" ht="15" hidden="false" customHeight="false" outlineLevel="0" collapsed="false">
      <c r="A40" s="23"/>
      <c r="B40" s="24" t="s">
        <v>109</v>
      </c>
      <c r="C40" s="31" t="n">
        <v>8000</v>
      </c>
      <c r="D40" s="31" t="n">
        <v>10000</v>
      </c>
      <c r="E40" s="31" t="n">
        <v>14000</v>
      </c>
    </row>
    <row r="41" customFormat="false" ht="15" hidden="false" customHeight="false" outlineLevel="0" collapsed="false">
      <c r="A41" s="23"/>
      <c r="B41" s="24" t="s">
        <v>110</v>
      </c>
      <c r="C41" s="31" t="n">
        <v>6000</v>
      </c>
      <c r="D41" s="31" t="n">
        <v>7500</v>
      </c>
      <c r="E41" s="31" t="n">
        <v>10500</v>
      </c>
    </row>
    <row r="42" customFormat="false" ht="15" hidden="false" customHeight="false" outlineLevel="0" collapsed="false">
      <c r="A42" s="23"/>
      <c r="B42" s="24" t="s">
        <v>111</v>
      </c>
      <c r="C42" s="31" t="n">
        <v>4000</v>
      </c>
      <c r="D42" s="31" t="n">
        <v>5000</v>
      </c>
      <c r="E42" s="31" t="n">
        <v>7000</v>
      </c>
    </row>
    <row r="43" customFormat="false" ht="15" hidden="false" customHeight="false" outlineLevel="0" collapsed="false">
      <c r="A43" s="23"/>
      <c r="B43" s="24" t="s">
        <v>112</v>
      </c>
      <c r="C43" s="31" t="n">
        <v>2000</v>
      </c>
      <c r="D43" s="31" t="n">
        <v>2500</v>
      </c>
      <c r="E43" s="31" t="n">
        <v>3500</v>
      </c>
    </row>
    <row r="44" customFormat="false" ht="15" hidden="false" customHeight="false" outlineLevel="0" collapsed="false">
      <c r="A44" s="23"/>
      <c r="B44" s="24" t="s">
        <v>113</v>
      </c>
      <c r="C44" s="18" t="n">
        <f aca="false">SUM(C39:C43)</f>
        <v>180000</v>
      </c>
      <c r="D44" s="18" t="n">
        <f aca="false">SUM(D39:D43)</f>
        <v>205000</v>
      </c>
      <c r="E44" s="18" t="n">
        <f aca="false">SUM(E39:E43)</f>
        <v>235000</v>
      </c>
    </row>
    <row r="46" customFormat="false" ht="15.75" hidden="false" customHeight="true" outlineLevel="0" collapsed="false">
      <c r="A46" s="13" t="s">
        <v>114</v>
      </c>
      <c r="B46" s="14"/>
      <c r="C46" s="14"/>
      <c r="D46" s="14"/>
      <c r="E46" s="14"/>
      <c r="F46" s="14"/>
    </row>
    <row r="47" customFormat="false" ht="15" hidden="false" customHeight="false" outlineLevel="0" collapsed="false">
      <c r="A47" s="23"/>
      <c r="B47" s="24" t="s">
        <v>115</v>
      </c>
      <c r="C47" s="31" t="n">
        <v>22400</v>
      </c>
      <c r="D47" s="31" t="n">
        <v>25200</v>
      </c>
      <c r="E47" s="31" t="n">
        <v>30800</v>
      </c>
    </row>
    <row r="48" customFormat="false" ht="15" hidden="false" customHeight="false" outlineLevel="0" collapsed="false">
      <c r="A48" s="23"/>
      <c r="B48" s="24" t="s">
        <v>116</v>
      </c>
      <c r="C48" s="31" t="n">
        <v>14400</v>
      </c>
      <c r="D48" s="31" t="n">
        <v>16200</v>
      </c>
      <c r="E48" s="31" t="n">
        <v>19800</v>
      </c>
    </row>
    <row r="49" customFormat="false" ht="15" hidden="false" customHeight="false" outlineLevel="0" collapsed="false">
      <c r="A49" s="23"/>
      <c r="B49" s="24" t="s">
        <v>117</v>
      </c>
      <c r="C49" s="31" t="n">
        <v>11200</v>
      </c>
      <c r="D49" s="31" t="n">
        <v>12600</v>
      </c>
      <c r="E49" s="31" t="n">
        <v>15400</v>
      </c>
    </row>
    <row r="50" customFormat="false" ht="15" hidden="false" customHeight="false" outlineLevel="0" collapsed="false">
      <c r="A50" s="23"/>
      <c r="B50" s="24" t="s">
        <v>118</v>
      </c>
      <c r="C50" s="31" t="n">
        <v>9600</v>
      </c>
      <c r="D50" s="31" t="n">
        <v>10800</v>
      </c>
      <c r="E50" s="31" t="n">
        <v>13200</v>
      </c>
    </row>
    <row r="51" customFormat="false" ht="15" hidden="false" customHeight="false" outlineLevel="0" collapsed="false">
      <c r="A51" s="23"/>
      <c r="B51" s="24" t="s">
        <v>119</v>
      </c>
      <c r="C51" s="31" t="n">
        <v>7200</v>
      </c>
      <c r="D51" s="31" t="n">
        <v>8100</v>
      </c>
      <c r="E51" s="31" t="n">
        <v>9900</v>
      </c>
    </row>
    <row r="52" customFormat="false" ht="15" hidden="false" customHeight="false" outlineLevel="0" collapsed="false">
      <c r="A52" s="23"/>
      <c r="B52" s="24" t="s">
        <v>120</v>
      </c>
      <c r="C52" s="31" t="n">
        <v>4800</v>
      </c>
      <c r="D52" s="31" t="n">
        <v>5400</v>
      </c>
      <c r="E52" s="31" t="n">
        <v>6600</v>
      </c>
    </row>
    <row r="53" customFormat="false" ht="15" hidden="false" customHeight="false" outlineLevel="0" collapsed="false">
      <c r="A53" s="23"/>
      <c r="B53" s="24" t="s">
        <v>121</v>
      </c>
      <c r="C53" s="31" t="n">
        <v>4000</v>
      </c>
      <c r="D53" s="31" t="n">
        <v>4500</v>
      </c>
      <c r="E53" s="31" t="n">
        <v>5500</v>
      </c>
    </row>
    <row r="54" customFormat="false" ht="15" hidden="false" customHeight="false" outlineLevel="0" collapsed="false">
      <c r="A54" s="23"/>
      <c r="B54" s="24" t="s">
        <v>122</v>
      </c>
      <c r="C54" s="31" t="n">
        <v>3200</v>
      </c>
      <c r="D54" s="31" t="n">
        <v>3600</v>
      </c>
      <c r="E54" s="31" t="n">
        <v>4400</v>
      </c>
    </row>
    <row r="55" customFormat="false" ht="15" hidden="false" customHeight="false" outlineLevel="0" collapsed="false">
      <c r="A55" s="23"/>
      <c r="B55" s="24" t="s">
        <v>123</v>
      </c>
      <c r="C55" s="31" t="n">
        <v>1600</v>
      </c>
      <c r="D55" s="31" t="n">
        <v>1800</v>
      </c>
      <c r="E55" s="31" t="n">
        <v>2200</v>
      </c>
    </row>
    <row r="56" customFormat="false" ht="15" hidden="false" customHeight="false" outlineLevel="0" collapsed="false">
      <c r="A56" s="23"/>
      <c r="B56" s="24" t="s">
        <v>124</v>
      </c>
      <c r="C56" s="31" t="n">
        <v>800</v>
      </c>
      <c r="D56" s="31" t="n">
        <v>900</v>
      </c>
      <c r="E56" s="31" t="n">
        <v>1100</v>
      </c>
    </row>
    <row r="57" customFormat="false" ht="15" hidden="false" customHeight="false" outlineLevel="0" collapsed="false">
      <c r="A57" s="23"/>
      <c r="B57" s="24" t="s">
        <v>125</v>
      </c>
      <c r="C57" s="31" t="n">
        <v>800</v>
      </c>
      <c r="D57" s="31" t="n">
        <v>900</v>
      </c>
      <c r="E57" s="31" t="n">
        <v>1100</v>
      </c>
    </row>
    <row r="58" customFormat="false" ht="15" hidden="false" customHeight="false" outlineLevel="0" collapsed="false">
      <c r="A58" s="23"/>
      <c r="B58" s="24" t="s">
        <v>126</v>
      </c>
      <c r="C58" s="18" t="n">
        <f aca="false">SUM(C47:C57)</f>
        <v>80000</v>
      </c>
      <c r="D58" s="18" t="n">
        <f aca="false">SUM(D47:D57)</f>
        <v>90000</v>
      </c>
      <c r="E58" s="18" t="n">
        <f aca="false">SUM(E47:E57)</f>
        <v>110000</v>
      </c>
    </row>
    <row r="60" customFormat="false" ht="15.75" hidden="false" customHeight="true" outlineLevel="0" collapsed="false">
      <c r="A60" s="13" t="s">
        <v>127</v>
      </c>
      <c r="B60" s="14"/>
      <c r="C60" s="14"/>
      <c r="D60" s="14"/>
      <c r="E60" s="14"/>
      <c r="F60" s="14"/>
    </row>
    <row r="61" customFormat="false" ht="15" hidden="false" customHeight="false" outlineLevel="0" collapsed="false">
      <c r="A61" s="23"/>
      <c r="B61" s="24" t="s">
        <v>128</v>
      </c>
      <c r="C61" s="31" t="n">
        <v>12600</v>
      </c>
      <c r="D61" s="31" t="n">
        <v>14000</v>
      </c>
      <c r="E61" s="31" t="n">
        <v>16800</v>
      </c>
    </row>
    <row r="62" customFormat="false" ht="15" hidden="false" customHeight="false" outlineLevel="0" collapsed="false">
      <c r="A62" s="23"/>
      <c r="B62" s="24" t="s">
        <v>129</v>
      </c>
      <c r="C62" s="31" t="n">
        <v>3150</v>
      </c>
      <c r="D62" s="31" t="n">
        <v>3500</v>
      </c>
      <c r="E62" s="31" t="n">
        <v>4200</v>
      </c>
    </row>
    <row r="63" customFormat="false" ht="15" hidden="false" customHeight="false" outlineLevel="0" collapsed="false">
      <c r="A63" s="23"/>
      <c r="B63" s="24" t="s">
        <v>130</v>
      </c>
      <c r="C63" s="31" t="n">
        <v>2250</v>
      </c>
      <c r="D63" s="31" t="n">
        <v>2500</v>
      </c>
      <c r="E63" s="31" t="n">
        <v>3000</v>
      </c>
    </row>
    <row r="64" customFormat="false" ht="15" hidden="false" customHeight="false" outlineLevel="0" collapsed="false">
      <c r="A64" s="23"/>
      <c r="B64" s="24" t="s">
        <v>131</v>
      </c>
      <c r="C64" s="31" t="n">
        <v>2250</v>
      </c>
      <c r="D64" s="31" t="n">
        <v>2500</v>
      </c>
      <c r="E64" s="31" t="n">
        <v>3000</v>
      </c>
    </row>
    <row r="65" customFormat="false" ht="15" hidden="false" customHeight="false" outlineLevel="0" collapsed="false">
      <c r="A65" s="23"/>
      <c r="B65" s="24" t="s">
        <v>132</v>
      </c>
      <c r="C65" s="31" t="n">
        <v>4050</v>
      </c>
      <c r="D65" s="31" t="n">
        <v>4500</v>
      </c>
      <c r="E65" s="31" t="n">
        <v>5400</v>
      </c>
    </row>
    <row r="66" customFormat="false" ht="15" hidden="false" customHeight="false" outlineLevel="0" collapsed="false">
      <c r="A66" s="23"/>
      <c r="B66" s="24" t="s">
        <v>133</v>
      </c>
      <c r="C66" s="31" t="n">
        <v>2700</v>
      </c>
      <c r="D66" s="31" t="n">
        <v>3000</v>
      </c>
      <c r="E66" s="31" t="n">
        <v>3600</v>
      </c>
    </row>
    <row r="67" customFormat="false" ht="15" hidden="false" customHeight="false" outlineLevel="0" collapsed="false">
      <c r="A67" s="23"/>
      <c r="B67" s="24" t="s">
        <v>134</v>
      </c>
      <c r="C67" s="31" t="n">
        <v>9900</v>
      </c>
      <c r="D67" s="31" t="n">
        <v>11000</v>
      </c>
      <c r="E67" s="31" t="n">
        <v>13200</v>
      </c>
    </row>
    <row r="68" customFormat="false" ht="15" hidden="false" customHeight="false" outlineLevel="0" collapsed="false">
      <c r="A68" s="23"/>
      <c r="B68" s="24" t="s">
        <v>135</v>
      </c>
      <c r="C68" s="31" t="n">
        <v>4050</v>
      </c>
      <c r="D68" s="31" t="n">
        <v>4500</v>
      </c>
      <c r="E68" s="31" t="n">
        <v>5400</v>
      </c>
    </row>
    <row r="69" customFormat="false" ht="15" hidden="false" customHeight="false" outlineLevel="0" collapsed="false">
      <c r="A69" s="23"/>
      <c r="B69" s="24" t="s">
        <v>136</v>
      </c>
      <c r="C69" s="31" t="n">
        <v>1800</v>
      </c>
      <c r="D69" s="31" t="n">
        <v>2000</v>
      </c>
      <c r="E69" s="31" t="n">
        <v>2400</v>
      </c>
    </row>
    <row r="70" customFormat="false" ht="15" hidden="false" customHeight="false" outlineLevel="0" collapsed="false">
      <c r="A70" s="23"/>
      <c r="B70" s="24" t="s">
        <v>137</v>
      </c>
      <c r="C70" s="31" t="n">
        <v>1350</v>
      </c>
      <c r="D70" s="31" t="n">
        <v>1500</v>
      </c>
      <c r="E70" s="31" t="n">
        <v>1800</v>
      </c>
    </row>
    <row r="71" customFormat="false" ht="15" hidden="false" customHeight="false" outlineLevel="0" collapsed="false">
      <c r="A71" s="23"/>
      <c r="B71" s="24" t="s">
        <v>138</v>
      </c>
      <c r="C71" s="31" t="n">
        <v>900</v>
      </c>
      <c r="D71" s="31" t="n">
        <v>1000</v>
      </c>
      <c r="E71" s="31" t="n">
        <v>1200</v>
      </c>
    </row>
    <row r="72" customFormat="false" ht="15" hidden="false" customHeight="false" outlineLevel="0" collapsed="false">
      <c r="A72" s="23"/>
      <c r="B72" s="24" t="s">
        <v>139</v>
      </c>
      <c r="C72" s="18" t="n">
        <f aca="false">SUM(C61:C71)</f>
        <v>45000</v>
      </c>
      <c r="D72" s="18" t="n">
        <f aca="false">SUM(D61:D71)</f>
        <v>50000</v>
      </c>
      <c r="E72" s="18" t="n">
        <f aca="false">SUM(E61:E71)</f>
        <v>60000</v>
      </c>
    </row>
    <row r="74" customFormat="false" ht="15.75" hidden="false" customHeight="true" outlineLevel="0" collapsed="false">
      <c r="A74" s="13" t="s">
        <v>140</v>
      </c>
      <c r="B74" s="14"/>
      <c r="C74" s="14"/>
      <c r="D74" s="14"/>
      <c r="E74" s="14"/>
      <c r="F74" s="14"/>
    </row>
    <row r="75" customFormat="false" ht="15" hidden="false" customHeight="false" outlineLevel="0" collapsed="false">
      <c r="A75" s="23"/>
      <c r="B75" s="24" t="s">
        <v>141</v>
      </c>
      <c r="C75" s="31" t="n">
        <v>8000</v>
      </c>
      <c r="D75" s="31" t="n">
        <v>11200</v>
      </c>
      <c r="E75" s="31" t="n">
        <v>14400</v>
      </c>
    </row>
    <row r="76" customFormat="false" ht="15" hidden="false" customHeight="false" outlineLevel="0" collapsed="false">
      <c r="A76" s="23"/>
      <c r="B76" s="24" t="s">
        <v>142</v>
      </c>
      <c r="C76" s="31" t="n">
        <v>4000</v>
      </c>
      <c r="D76" s="31" t="n">
        <v>5600</v>
      </c>
      <c r="E76" s="31" t="n">
        <v>7200</v>
      </c>
    </row>
    <row r="77" customFormat="false" ht="15" hidden="false" customHeight="false" outlineLevel="0" collapsed="false">
      <c r="A77" s="23"/>
      <c r="B77" s="24" t="s">
        <v>143</v>
      </c>
      <c r="C77" s="31" t="n">
        <v>2500</v>
      </c>
      <c r="D77" s="31" t="n">
        <v>3500</v>
      </c>
      <c r="E77" s="31" t="n">
        <v>4500</v>
      </c>
    </row>
    <row r="78" customFormat="false" ht="15" hidden="false" customHeight="false" outlineLevel="0" collapsed="false">
      <c r="A78" s="23"/>
      <c r="B78" s="24" t="s">
        <v>144</v>
      </c>
      <c r="C78" s="31" t="n">
        <v>2500</v>
      </c>
      <c r="D78" s="31" t="n">
        <v>3500</v>
      </c>
      <c r="E78" s="31" t="n">
        <v>4500</v>
      </c>
    </row>
    <row r="79" customFormat="false" ht="15" hidden="false" customHeight="false" outlineLevel="0" collapsed="false">
      <c r="A79" s="23"/>
      <c r="B79" s="24" t="s">
        <v>145</v>
      </c>
      <c r="C79" s="31" t="n">
        <v>2500</v>
      </c>
      <c r="D79" s="31" t="n">
        <v>3500</v>
      </c>
      <c r="E79" s="31" t="n">
        <v>4500</v>
      </c>
    </row>
    <row r="80" customFormat="false" ht="15" hidden="false" customHeight="false" outlineLevel="0" collapsed="false">
      <c r="A80" s="23"/>
      <c r="B80" s="24" t="s">
        <v>146</v>
      </c>
      <c r="C80" s="31" t="n">
        <v>2000</v>
      </c>
      <c r="D80" s="31" t="n">
        <v>2800</v>
      </c>
      <c r="E80" s="31" t="n">
        <v>3600</v>
      </c>
    </row>
    <row r="81" customFormat="false" ht="15" hidden="false" customHeight="false" outlineLevel="0" collapsed="false">
      <c r="A81" s="23"/>
      <c r="B81" s="24" t="s">
        <v>147</v>
      </c>
      <c r="C81" s="31" t="n">
        <v>2000</v>
      </c>
      <c r="D81" s="31" t="n">
        <v>2800</v>
      </c>
      <c r="E81" s="31" t="n">
        <v>3600</v>
      </c>
    </row>
    <row r="82" customFormat="false" ht="15" hidden="false" customHeight="false" outlineLevel="0" collapsed="false">
      <c r="A82" s="23"/>
      <c r="B82" s="24" t="s">
        <v>148</v>
      </c>
      <c r="C82" s="31" t="n">
        <v>1000</v>
      </c>
      <c r="D82" s="31" t="n">
        <v>1400</v>
      </c>
      <c r="E82" s="31" t="n">
        <v>1800</v>
      </c>
    </row>
    <row r="83" customFormat="false" ht="15" hidden="false" customHeight="false" outlineLevel="0" collapsed="false">
      <c r="A83" s="23"/>
      <c r="B83" s="24" t="s">
        <v>149</v>
      </c>
      <c r="C83" s="31" t="n">
        <v>500</v>
      </c>
      <c r="D83" s="31" t="n">
        <v>700</v>
      </c>
      <c r="E83" s="31" t="n">
        <v>900</v>
      </c>
    </row>
    <row r="84" customFormat="false" ht="15" hidden="false" customHeight="false" outlineLevel="0" collapsed="false">
      <c r="A84" s="23"/>
      <c r="B84" s="24" t="s">
        <v>150</v>
      </c>
      <c r="C84" s="18" t="n">
        <f aca="false">SUM(C75:C83)</f>
        <v>25000</v>
      </c>
      <c r="D84" s="18" t="n">
        <f aca="false">SUM(D75:D83)</f>
        <v>35000</v>
      </c>
      <c r="E84" s="18" t="n">
        <f aca="false">SUM(E75:E83)</f>
        <v>45000</v>
      </c>
    </row>
    <row r="86" customFormat="false" ht="15.75" hidden="false" customHeight="true" outlineLevel="0" collapsed="false">
      <c r="A86" s="13" t="s">
        <v>151</v>
      </c>
      <c r="B86" s="14"/>
      <c r="C86" s="14"/>
      <c r="D86" s="14"/>
      <c r="E86" s="14"/>
      <c r="F86" s="14"/>
    </row>
    <row r="87" customFormat="false" ht="15" hidden="false" customHeight="false" outlineLevel="0" collapsed="false">
      <c r="A87" s="23"/>
      <c r="B87" s="24" t="s">
        <v>152</v>
      </c>
      <c r="C87" s="31" t="n">
        <v>7000</v>
      </c>
      <c r="D87" s="31" t="n">
        <v>8400</v>
      </c>
      <c r="E87" s="31" t="n">
        <v>11200</v>
      </c>
    </row>
    <row r="88" customFormat="false" ht="15" hidden="false" customHeight="false" outlineLevel="0" collapsed="false">
      <c r="A88" s="23"/>
      <c r="B88" s="24" t="s">
        <v>153</v>
      </c>
      <c r="C88" s="31" t="n">
        <v>3750</v>
      </c>
      <c r="D88" s="31" t="n">
        <v>4500</v>
      </c>
      <c r="E88" s="31" t="n">
        <v>6000</v>
      </c>
    </row>
    <row r="89" customFormat="false" ht="15" hidden="false" customHeight="false" outlineLevel="0" collapsed="false">
      <c r="A89" s="23"/>
      <c r="B89" s="24" t="s">
        <v>154</v>
      </c>
      <c r="C89" s="31" t="n">
        <v>7500</v>
      </c>
      <c r="D89" s="31" t="n">
        <v>9000</v>
      </c>
      <c r="E89" s="31" t="n">
        <v>12000</v>
      </c>
    </row>
    <row r="90" customFormat="false" ht="15" hidden="false" customHeight="false" outlineLevel="0" collapsed="false">
      <c r="A90" s="23"/>
      <c r="B90" s="24" t="s">
        <v>155</v>
      </c>
      <c r="C90" s="31" t="n">
        <v>3000</v>
      </c>
      <c r="D90" s="31" t="n">
        <v>3600</v>
      </c>
      <c r="E90" s="31" t="n">
        <v>4800</v>
      </c>
    </row>
    <row r="91" customFormat="false" ht="15" hidden="false" customHeight="false" outlineLevel="0" collapsed="false">
      <c r="A91" s="23"/>
      <c r="B91" s="24" t="s">
        <v>156</v>
      </c>
      <c r="C91" s="31" t="n">
        <v>2500</v>
      </c>
      <c r="D91" s="31" t="n">
        <v>3000</v>
      </c>
      <c r="E91" s="31" t="n">
        <v>4000</v>
      </c>
    </row>
    <row r="92" customFormat="false" ht="15" hidden="false" customHeight="false" outlineLevel="0" collapsed="false">
      <c r="A92" s="23"/>
      <c r="B92" s="24" t="s">
        <v>157</v>
      </c>
      <c r="C92" s="31" t="n">
        <v>1250</v>
      </c>
      <c r="D92" s="31" t="n">
        <v>1500</v>
      </c>
      <c r="E92" s="31" t="n">
        <v>2000</v>
      </c>
    </row>
    <row r="93" customFormat="false" ht="15" hidden="false" customHeight="false" outlineLevel="0" collapsed="false">
      <c r="A93" s="23"/>
      <c r="B93" s="24" t="s">
        <v>158</v>
      </c>
      <c r="C93" s="18" t="n">
        <f aca="false">SUM(C87:C92)</f>
        <v>25000</v>
      </c>
      <c r="D93" s="18" t="n">
        <f aca="false">SUM(D87:D92)</f>
        <v>30000</v>
      </c>
      <c r="E93" s="18" t="n">
        <f aca="false">SUM(E87:E92)</f>
        <v>40000</v>
      </c>
    </row>
    <row r="95" customFormat="false" ht="15.75" hidden="false" customHeight="true" outlineLevel="0" collapsed="false">
      <c r="A95" s="13" t="s">
        <v>159</v>
      </c>
      <c r="B95" s="14"/>
      <c r="C95" s="14"/>
      <c r="D95" s="14"/>
      <c r="E95" s="14"/>
      <c r="F95" s="14"/>
    </row>
    <row r="96" customFormat="false" ht="15" hidden="false" customHeight="false" outlineLevel="0" collapsed="false">
      <c r="A96" s="23"/>
      <c r="B96" s="24" t="s">
        <v>160</v>
      </c>
      <c r="C96" s="28" t="n">
        <v>0.02</v>
      </c>
      <c r="D96" s="28" t="n">
        <v>0.015</v>
      </c>
      <c r="E96" s="28" t="n">
        <v>0.01</v>
      </c>
    </row>
    <row r="97" customFormat="false" ht="15" hidden="false" customHeight="false" outlineLevel="0" collapsed="false">
      <c r="A97" s="23"/>
      <c r="B97" s="24" t="s">
        <v>161</v>
      </c>
      <c r="C97" s="28" t="n">
        <v>0.02</v>
      </c>
      <c r="D97" s="28" t="n">
        <v>0.015</v>
      </c>
      <c r="E97" s="28" t="n">
        <v>0.01</v>
      </c>
    </row>
    <row r="98" customFormat="false" ht="15" hidden="false" customHeight="false" outlineLevel="0" collapsed="false">
      <c r="A98" s="23"/>
      <c r="B98" s="24" t="s">
        <v>162</v>
      </c>
      <c r="C98" s="28" t="n">
        <v>0.03</v>
      </c>
      <c r="D98" s="28" t="n">
        <v>0.02</v>
      </c>
      <c r="E98" s="28" t="n">
        <v>0.015</v>
      </c>
    </row>
    <row r="99" customFormat="false" ht="15" hidden="false" customHeight="false" outlineLevel="0" collapsed="false">
      <c r="A99" s="23"/>
      <c r="B99" s="24" t="s">
        <v>163</v>
      </c>
      <c r="C99" s="31" t="n">
        <v>8000</v>
      </c>
      <c r="D99" s="31" t="n">
        <v>6000</v>
      </c>
      <c r="E99" s="31" t="n">
        <v>5000</v>
      </c>
    </row>
    <row r="100" customFormat="false" ht="15" hidden="false" customHeight="false" outlineLevel="0" collapsed="false">
      <c r="A100" s="23"/>
      <c r="B100" s="24" t="s">
        <v>164</v>
      </c>
      <c r="C100" s="28" t="n">
        <v>0.07</v>
      </c>
      <c r="D100" s="28" t="n">
        <v>0.08</v>
      </c>
      <c r="E100" s="28" t="n">
        <v>0.1</v>
      </c>
      <c r="F100" s="6" t="s">
        <v>165</v>
      </c>
    </row>
    <row r="102" customFormat="false" ht="15.75" hidden="false" customHeight="true" outlineLevel="0" collapsed="false">
      <c r="A102" s="13" t="s">
        <v>166</v>
      </c>
      <c r="B102" s="14"/>
      <c r="C102" s="14"/>
      <c r="D102" s="14"/>
      <c r="E102" s="14"/>
      <c r="F102" s="14"/>
    </row>
    <row r="103" customFormat="false" ht="15" hidden="false" customHeight="false" outlineLevel="0" collapsed="false">
      <c r="A103" s="23"/>
      <c r="B103" s="24" t="s">
        <v>167</v>
      </c>
      <c r="C103" s="18" t="n">
        <f aca="false">C44+C58+C72+C84+C93+'ENTRADAS PMO'!$C$99</f>
        <v>363000</v>
      </c>
      <c r="D103" s="18" t="n">
        <f aca="false">D44+D58+D72+D84+D93+'ENTRADAS PMO'!$D$99</f>
        <v>416000</v>
      </c>
      <c r="E103" s="18" t="n">
        <f aca="false">E44+E58+E72+E84+E93+'ENTRADAS PMO'!$E$99</f>
        <v>495000</v>
      </c>
    </row>
    <row r="104" customFormat="false" ht="15" hidden="false" customHeight="false" outlineLevel="0" collapsed="false">
      <c r="A104" s="23"/>
      <c r="B104" s="24" t="s">
        <v>168</v>
      </c>
      <c r="C104" s="18" t="n">
        <f aca="false">('ENTRADAS PMO'!$C$96+'ENTRADAS PMO'!$C$97+'ENTRADAS PMO'!$C$98)*(C18+C24+C33+'ENTRADAS PMO'!$C$36)</f>
        <v>13682.06</v>
      </c>
      <c r="D104" s="18" t="n">
        <f aca="false">('ENTRADAS PMO'!$D$96+'ENTRADAS PMO'!$D$97+'ENTRADAS PMO'!$D$98)*(D18+D24+D33+'ENTRADAS PMO'!$D$36)</f>
        <v>24551.325</v>
      </c>
      <c r="E104" s="18" t="n">
        <f aca="false">('ENTRADAS PMO'!$E$96+'ENTRADAS PMO'!$E$97+'ENTRADAS PMO'!$E$98)*(E18+E24+E33+'ENTRADAS PMO'!$E$36)</f>
        <v>24129.7</v>
      </c>
    </row>
    <row r="105" customFormat="false" ht="15" hidden="false" customHeight="false" outlineLevel="0" collapsed="false">
      <c r="A105" s="23"/>
      <c r="B105" s="24" t="s">
        <v>169</v>
      </c>
      <c r="C105" s="18" t="n">
        <f aca="false">C103+C104</f>
        <v>376682.06</v>
      </c>
      <c r="D105" s="18" t="n">
        <f aca="false">D103+D104</f>
        <v>440551.325</v>
      </c>
      <c r="E105" s="18" t="n">
        <f aca="false">E103+E104</f>
        <v>519129.7</v>
      </c>
    </row>
    <row r="106" customFormat="false" ht="15" hidden="false" customHeight="false" outlineLevel="0" collapsed="false">
      <c r="A106" s="23"/>
      <c r="B106" s="24" t="s">
        <v>170</v>
      </c>
      <c r="C106" s="18" t="n">
        <f aca="false">C105*'ENTRADAS PMO'!$C$100</f>
        <v>26367.7442</v>
      </c>
      <c r="D106" s="18" t="n">
        <f aca="false">D105*'ENTRADAS PMO'!$D$100</f>
        <v>35244.106</v>
      </c>
      <c r="E106" s="18" t="n">
        <f aca="false">E105*'ENTRADAS PMO'!$E$100</f>
        <v>51912.97</v>
      </c>
    </row>
    <row r="107" customFormat="false" ht="15" hidden="false" customHeight="false" outlineLevel="0" collapsed="false">
      <c r="A107" s="23"/>
      <c r="B107" s="32" t="s">
        <v>171</v>
      </c>
      <c r="C107" s="18" t="n">
        <f aca="false">C105+C106</f>
        <v>403049.8042</v>
      </c>
      <c r="D107" s="18" t="n">
        <f aca="false">D105+D106</f>
        <v>475795.431</v>
      </c>
      <c r="E107" s="18" t="n">
        <f aca="false">E105+E106</f>
        <v>571042.67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10" min="9" style="0" width="15"/>
  </cols>
  <sheetData>
    <row r="1" customFormat="false" ht="18.55" hidden="false" customHeight="false" outlineLevel="0" collapsed="false">
      <c r="A1" s="2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33" t="s">
        <v>2</v>
      </c>
      <c r="B4" s="34"/>
      <c r="C4" s="34"/>
      <c r="D4" s="34"/>
      <c r="E4" s="34"/>
      <c r="F4" s="34"/>
      <c r="G4" s="34"/>
      <c r="H4" s="34"/>
      <c r="I4" s="34"/>
      <c r="J4" s="34"/>
    </row>
    <row r="5" customFormat="false" ht="23.85" hidden="false" customHeight="false" outlineLevel="0" collapsed="false">
      <c r="A5" s="22" t="s">
        <v>174</v>
      </c>
      <c r="B5" s="22" t="s">
        <v>175</v>
      </c>
      <c r="C5" s="22" t="s">
        <v>176</v>
      </c>
      <c r="D5" s="22" t="s">
        <v>177</v>
      </c>
      <c r="E5" s="22" t="s">
        <v>178</v>
      </c>
      <c r="F5" s="22" t="s">
        <v>179</v>
      </c>
      <c r="G5" s="22" t="s">
        <v>180</v>
      </c>
      <c r="H5" s="22" t="s">
        <v>181</v>
      </c>
      <c r="I5" s="22" t="s">
        <v>182</v>
      </c>
      <c r="J5" s="22" t="s">
        <v>183</v>
      </c>
    </row>
    <row r="6" customFormat="false" ht="15" hidden="false" customHeight="false" outlineLevel="0" collapsed="false">
      <c r="A6" s="6" t="s">
        <v>184</v>
      </c>
      <c r="B6" s="30" t="n">
        <v>60</v>
      </c>
      <c r="C6" s="25" t="n">
        <v>300</v>
      </c>
      <c r="D6" s="27" t="n">
        <f aca="false">C6/SUM($C$6:$C$10)</f>
        <v>0.194805194805195</v>
      </c>
      <c r="E6" s="18" t="n">
        <f aca="false">B6*C6</f>
        <v>18000</v>
      </c>
      <c r="F6" s="18" t="n">
        <f aca="false">E6*'ENTRADAS PMO'!$C$13</f>
        <v>900</v>
      </c>
      <c r="G6" s="18" t="n">
        <f aca="false">E6*'ENTRADAS PMO'!$C$14</f>
        <v>540</v>
      </c>
      <c r="H6" s="18" t="n">
        <f aca="false">E6*'ENTRADAS PMO'!$C$15</f>
        <v>0</v>
      </c>
      <c r="I6" s="18" t="n">
        <f aca="false">E6-F6-G6-H6</f>
        <v>16560</v>
      </c>
      <c r="J6" s="27" t="n">
        <f aca="false">SUM($C$6:C6)/'ENTRADAS PMO'!$C$6</f>
        <v>0.136363636363636</v>
      </c>
    </row>
    <row r="7" customFormat="false" ht="15" hidden="false" customHeight="false" outlineLevel="0" collapsed="false">
      <c r="A7" s="6" t="s">
        <v>185</v>
      </c>
      <c r="B7" s="30" t="n">
        <v>75</v>
      </c>
      <c r="C7" s="25" t="n">
        <v>550</v>
      </c>
      <c r="D7" s="27" t="n">
        <f aca="false">C7/SUM($C$6:$C$10)</f>
        <v>0.357142857142857</v>
      </c>
      <c r="E7" s="18" t="n">
        <f aca="false">B7*C7</f>
        <v>41250</v>
      </c>
      <c r="F7" s="18" t="n">
        <f aca="false">E7*'ENTRADAS PMO'!$C$13</f>
        <v>2062.5</v>
      </c>
      <c r="G7" s="18" t="n">
        <f aca="false">E7*'ENTRADAS PMO'!$C$14</f>
        <v>1237.5</v>
      </c>
      <c r="H7" s="18" t="n">
        <f aca="false">E7*'ENTRADAS PMO'!$C$15</f>
        <v>0</v>
      </c>
      <c r="I7" s="18" t="n">
        <f aca="false">E7-F7-G7-H7</f>
        <v>37950</v>
      </c>
      <c r="J7" s="27" t="n">
        <f aca="false">SUM($C$6:C7)/'ENTRADAS PMO'!$C$6</f>
        <v>0.386363636363636</v>
      </c>
    </row>
    <row r="8" customFormat="false" ht="15" hidden="false" customHeight="false" outlineLevel="0" collapsed="false">
      <c r="A8" s="6" t="s">
        <v>186</v>
      </c>
      <c r="B8" s="30" t="n">
        <v>90</v>
      </c>
      <c r="C8" s="25" t="n">
        <v>500</v>
      </c>
      <c r="D8" s="27" t="n">
        <f aca="false">C8/SUM($C$6:$C$10)</f>
        <v>0.324675324675325</v>
      </c>
      <c r="E8" s="18" t="n">
        <f aca="false">B8*C8</f>
        <v>45000</v>
      </c>
      <c r="F8" s="18" t="n">
        <f aca="false">E8*'ENTRADAS PMO'!$C$13</f>
        <v>2250</v>
      </c>
      <c r="G8" s="18" t="n">
        <f aca="false">E8*'ENTRADAS PMO'!$C$14</f>
        <v>1350</v>
      </c>
      <c r="H8" s="18" t="n">
        <f aca="false">E8*'ENTRADAS PMO'!$C$15</f>
        <v>0</v>
      </c>
      <c r="I8" s="18" t="n">
        <f aca="false">E8-F8-G8-H8</f>
        <v>41400</v>
      </c>
      <c r="J8" s="27" t="n">
        <f aca="false">SUM($C$6:C8)/'ENTRADAS PMO'!$C$6</f>
        <v>0.613636363636364</v>
      </c>
    </row>
    <row r="9" customFormat="false" ht="15" hidden="false" customHeight="false" outlineLevel="0" collapsed="false">
      <c r="A9" s="6" t="s">
        <v>187</v>
      </c>
      <c r="B9" s="30" t="n">
        <v>100</v>
      </c>
      <c r="C9" s="25" t="n">
        <v>150</v>
      </c>
      <c r="D9" s="27" t="n">
        <f aca="false">C9/SUM($C$6:$C$10)</f>
        <v>0.0974025974025974</v>
      </c>
      <c r="E9" s="18" t="n">
        <f aca="false">B9*C9</f>
        <v>15000</v>
      </c>
      <c r="F9" s="18" t="n">
        <f aca="false">E9*'ENTRADAS PMO'!$C$13</f>
        <v>750</v>
      </c>
      <c r="G9" s="18" t="n">
        <f aca="false">E9*'ENTRADAS PMO'!$C$14</f>
        <v>450</v>
      </c>
      <c r="H9" s="18" t="n">
        <f aca="false">E9*'ENTRADAS PMO'!$C$15</f>
        <v>0</v>
      </c>
      <c r="I9" s="18" t="n">
        <f aca="false">E9-F9-G9-H9</f>
        <v>13800</v>
      </c>
      <c r="J9" s="27" t="n">
        <f aca="false">SUM($C$6:C9)/'ENTRADAS PMO'!$C$6</f>
        <v>0.681818181818182</v>
      </c>
    </row>
    <row r="10" customFormat="false" ht="15" hidden="false" customHeight="false" outlineLevel="0" collapsed="false">
      <c r="A10" s="6" t="s">
        <v>188</v>
      </c>
      <c r="B10" s="30" t="n">
        <v>110</v>
      </c>
      <c r="C10" s="25" t="n">
        <v>40</v>
      </c>
      <c r="D10" s="27" t="n">
        <f aca="false">C10/SUM($C$6:$C$10)</f>
        <v>0.025974025974026</v>
      </c>
      <c r="E10" s="18" t="n">
        <f aca="false">B10*C10</f>
        <v>4400</v>
      </c>
      <c r="F10" s="18" t="n">
        <f aca="false">E10*'ENTRADAS PMO'!$C$13</f>
        <v>220</v>
      </c>
      <c r="G10" s="18" t="n">
        <f aca="false">E10*'ENTRADAS PMO'!$C$14</f>
        <v>132</v>
      </c>
      <c r="H10" s="18" t="n">
        <f aca="false">E10*'ENTRADAS PMO'!$C$15</f>
        <v>0</v>
      </c>
      <c r="I10" s="18" t="n">
        <f aca="false">E10-F10-G10-H10</f>
        <v>4048</v>
      </c>
      <c r="J10" s="27" t="n">
        <f aca="false">SUM($C$6:C10)/'ENTRADAS PMO'!$C$6</f>
        <v>0.7</v>
      </c>
    </row>
    <row r="12" customFormat="false" ht="15" hidden="false" customHeight="false" outlineLevel="0" collapsed="false">
      <c r="A12" s="11" t="s">
        <v>189</v>
      </c>
      <c r="C12" s="26" t="n">
        <f aca="false">SUM(C6:C10)</f>
        <v>1540</v>
      </c>
    </row>
    <row r="13" customFormat="false" ht="15" hidden="false" customHeight="false" outlineLevel="0" collapsed="false">
      <c r="A13" s="11" t="s">
        <v>190</v>
      </c>
      <c r="C13" s="29" t="n">
        <f aca="false">SUM(E6:E10)/SUM(C6:C10)</f>
        <v>80.2922077922078</v>
      </c>
    </row>
    <row r="14" customFormat="false" ht="15" hidden="false" customHeight="false" outlineLevel="0" collapsed="false">
      <c r="A14" s="11" t="s">
        <v>191</v>
      </c>
      <c r="C14" s="18" t="n">
        <f aca="false">SUM(E6:E10)</f>
        <v>123650</v>
      </c>
    </row>
    <row r="15" customFormat="false" ht="15" hidden="false" customHeight="false" outlineLevel="0" collapsed="false">
      <c r="A15" s="11" t="s">
        <v>192</v>
      </c>
      <c r="C15" s="18" t="n">
        <f aca="false">SUM(I6:I10)</f>
        <v>113758</v>
      </c>
    </row>
    <row r="17" customFormat="false" ht="15" hidden="false" customHeight="false" outlineLevel="0" collapsed="false">
      <c r="A17" s="35" t="s">
        <v>3</v>
      </c>
      <c r="B17" s="36"/>
      <c r="C17" s="36"/>
      <c r="D17" s="36"/>
      <c r="E17" s="36"/>
      <c r="F17" s="36"/>
      <c r="G17" s="36"/>
      <c r="H17" s="36"/>
      <c r="I17" s="36"/>
      <c r="J17" s="36"/>
    </row>
    <row r="18" customFormat="false" ht="23.85" hidden="false" customHeight="false" outlineLevel="0" collapsed="false">
      <c r="A18" s="22" t="s">
        <v>174</v>
      </c>
      <c r="B18" s="22" t="s">
        <v>175</v>
      </c>
      <c r="C18" s="22" t="s">
        <v>176</v>
      </c>
      <c r="D18" s="22" t="s">
        <v>177</v>
      </c>
      <c r="E18" s="22" t="s">
        <v>178</v>
      </c>
      <c r="F18" s="22" t="s">
        <v>179</v>
      </c>
      <c r="G18" s="22" t="s">
        <v>180</v>
      </c>
      <c r="H18" s="22" t="s">
        <v>181</v>
      </c>
      <c r="I18" s="22" t="s">
        <v>182</v>
      </c>
      <c r="J18" s="22" t="s">
        <v>183</v>
      </c>
    </row>
    <row r="19" customFormat="false" ht="15" hidden="false" customHeight="false" outlineLevel="0" collapsed="false">
      <c r="A19" s="6" t="s">
        <v>184</v>
      </c>
      <c r="B19" s="30" t="n">
        <v>70</v>
      </c>
      <c r="C19" s="25" t="n">
        <v>330</v>
      </c>
      <c r="D19" s="27" t="n">
        <f aca="false">C19/SUM($C$19:$C$23)</f>
        <v>0.115789473684211</v>
      </c>
      <c r="E19" s="18" t="n">
        <f aca="false">B19*C19</f>
        <v>23100</v>
      </c>
      <c r="F19" s="18" t="n">
        <f aca="false">E19*'ENTRADAS PMO'!$D$13</f>
        <v>1155</v>
      </c>
      <c r="G19" s="18" t="n">
        <f aca="false">E19*'ENTRADAS PMO'!$D$14</f>
        <v>693</v>
      </c>
      <c r="H19" s="18" t="n">
        <f aca="false">E19*'ENTRADAS PMO'!$D$15</f>
        <v>0</v>
      </c>
      <c r="I19" s="18" t="n">
        <f aca="false">E19-F19-G19-H19</f>
        <v>21252</v>
      </c>
      <c r="J19" s="27" t="n">
        <f aca="false">SUM($C$19:C19)/'ENTRADAS PMO'!$D$6</f>
        <v>0.11</v>
      </c>
    </row>
    <row r="20" customFormat="false" ht="15" hidden="false" customHeight="false" outlineLevel="0" collapsed="false">
      <c r="A20" s="6" t="s">
        <v>185</v>
      </c>
      <c r="B20" s="30" t="n">
        <v>85</v>
      </c>
      <c r="C20" s="25" t="n">
        <v>620</v>
      </c>
      <c r="D20" s="27" t="n">
        <f aca="false">C20/SUM($C$19:$C$23)</f>
        <v>0.217543859649123</v>
      </c>
      <c r="E20" s="18" t="n">
        <f aca="false">B20*C20</f>
        <v>52700</v>
      </c>
      <c r="F20" s="18" t="n">
        <f aca="false">E20*'ENTRADAS PMO'!$D$13</f>
        <v>2635</v>
      </c>
      <c r="G20" s="18" t="n">
        <f aca="false">E20*'ENTRADAS PMO'!$D$14</f>
        <v>1581</v>
      </c>
      <c r="H20" s="18" t="n">
        <f aca="false">E20*'ENTRADAS PMO'!$D$15</f>
        <v>0</v>
      </c>
      <c r="I20" s="18" t="n">
        <f aca="false">E20-F20-G20-H20</f>
        <v>48484</v>
      </c>
      <c r="J20" s="27" t="n">
        <f aca="false">SUM($C$19:C20)/'ENTRADAS PMO'!$D$6</f>
        <v>0.316666666666667</v>
      </c>
    </row>
    <row r="21" customFormat="false" ht="15" hidden="false" customHeight="false" outlineLevel="0" collapsed="false">
      <c r="A21" s="6" t="s">
        <v>186</v>
      </c>
      <c r="B21" s="30" t="n">
        <v>105</v>
      </c>
      <c r="C21" s="25" t="n">
        <v>800</v>
      </c>
      <c r="D21" s="27" t="n">
        <f aca="false">C21/SUM($C$19:$C$23)</f>
        <v>0.280701754385965</v>
      </c>
      <c r="E21" s="18" t="n">
        <f aca="false">B21*C21</f>
        <v>84000</v>
      </c>
      <c r="F21" s="18" t="n">
        <f aca="false">E21*'ENTRADAS PMO'!$D$13</f>
        <v>4200</v>
      </c>
      <c r="G21" s="18" t="n">
        <f aca="false">E21*'ENTRADAS PMO'!$D$14</f>
        <v>2520</v>
      </c>
      <c r="H21" s="18" t="n">
        <f aca="false">E21*'ENTRADAS PMO'!$D$15</f>
        <v>0</v>
      </c>
      <c r="I21" s="18" t="n">
        <f aca="false">E21-F21-G21-H21</f>
        <v>77280</v>
      </c>
      <c r="J21" s="27" t="n">
        <f aca="false">SUM($C$19:C21)/'ENTRADAS PMO'!$D$6</f>
        <v>0.583333333333333</v>
      </c>
    </row>
    <row r="22" customFormat="false" ht="15" hidden="false" customHeight="false" outlineLevel="0" collapsed="false">
      <c r="A22" s="6" t="s">
        <v>187</v>
      </c>
      <c r="B22" s="30" t="n">
        <v>122</v>
      </c>
      <c r="C22" s="25" t="n">
        <v>720</v>
      </c>
      <c r="D22" s="27" t="n">
        <f aca="false">C22/SUM($C$19:$C$23)</f>
        <v>0.252631578947368</v>
      </c>
      <c r="E22" s="18" t="n">
        <f aca="false">B22*C22</f>
        <v>87840</v>
      </c>
      <c r="F22" s="18" t="n">
        <f aca="false">E22*'ENTRADAS PMO'!$D$13</f>
        <v>4392</v>
      </c>
      <c r="G22" s="18" t="n">
        <f aca="false">E22*'ENTRADAS PMO'!$D$14</f>
        <v>2635.2</v>
      </c>
      <c r="H22" s="18" t="n">
        <f aca="false">E22*'ENTRADAS PMO'!$D$15</f>
        <v>0</v>
      </c>
      <c r="I22" s="18" t="n">
        <f aca="false">E22-F22-G22-H22</f>
        <v>80812.8</v>
      </c>
      <c r="J22" s="27" t="n">
        <f aca="false">SUM($C$19:C22)/'ENTRADAS PMO'!$D$6</f>
        <v>0.823333333333333</v>
      </c>
    </row>
    <row r="23" customFormat="false" ht="15" hidden="false" customHeight="false" outlineLevel="0" collapsed="false">
      <c r="A23" s="6" t="s">
        <v>188</v>
      </c>
      <c r="B23" s="30" t="n">
        <v>145</v>
      </c>
      <c r="C23" s="25" t="n">
        <v>380</v>
      </c>
      <c r="D23" s="27" t="n">
        <f aca="false">C23/SUM($C$19:$C$23)</f>
        <v>0.133333333333333</v>
      </c>
      <c r="E23" s="18" t="n">
        <f aca="false">B23*C23</f>
        <v>55100</v>
      </c>
      <c r="F23" s="18" t="n">
        <f aca="false">E23*'ENTRADAS PMO'!$D$13</f>
        <v>2755</v>
      </c>
      <c r="G23" s="18" t="n">
        <f aca="false">E23*'ENTRADAS PMO'!$D$14</f>
        <v>1653</v>
      </c>
      <c r="H23" s="18" t="n">
        <f aca="false">E23*'ENTRADAS PMO'!$D$15</f>
        <v>0</v>
      </c>
      <c r="I23" s="18" t="n">
        <f aca="false">E23-F23-G23-H23</f>
        <v>50692</v>
      </c>
      <c r="J23" s="27" t="n">
        <f aca="false">SUM($C$19:C23)/'ENTRADAS PMO'!$D$6</f>
        <v>0.95</v>
      </c>
    </row>
    <row r="25" customFormat="false" ht="15" hidden="false" customHeight="false" outlineLevel="0" collapsed="false">
      <c r="A25" s="11" t="s">
        <v>189</v>
      </c>
      <c r="C25" s="26" t="n">
        <f aca="false">SUM(C19:C23)</f>
        <v>2850</v>
      </c>
    </row>
    <row r="26" customFormat="false" ht="15" hidden="false" customHeight="false" outlineLevel="0" collapsed="false">
      <c r="A26" s="11" t="s">
        <v>190</v>
      </c>
      <c r="C26" s="29" t="n">
        <f aca="false">SUM(E19:E23)/SUM(C19:C23)</f>
        <v>106.224561403509</v>
      </c>
    </row>
    <row r="27" customFormat="false" ht="15" hidden="false" customHeight="false" outlineLevel="0" collapsed="false">
      <c r="A27" s="11" t="s">
        <v>191</v>
      </c>
      <c r="C27" s="18" t="n">
        <f aca="false">SUM(E19:E23)</f>
        <v>302740</v>
      </c>
    </row>
    <row r="28" customFormat="false" ht="15" hidden="false" customHeight="false" outlineLevel="0" collapsed="false">
      <c r="A28" s="11" t="s">
        <v>192</v>
      </c>
      <c r="C28" s="18" t="n">
        <f aca="false">SUM(I19:I23)</f>
        <v>278520.8</v>
      </c>
    </row>
    <row r="30" customFormat="false" ht="15" hidden="false" customHeight="false" outlineLevel="0" collapsed="false">
      <c r="A30" s="37" t="s">
        <v>4</v>
      </c>
      <c r="B30" s="38"/>
      <c r="C30" s="38"/>
      <c r="D30" s="38"/>
      <c r="E30" s="38"/>
      <c r="F30" s="38"/>
      <c r="G30" s="38"/>
      <c r="H30" s="38"/>
      <c r="I30" s="38"/>
      <c r="J30" s="38"/>
    </row>
    <row r="31" customFormat="false" ht="23.85" hidden="false" customHeight="false" outlineLevel="0" collapsed="false">
      <c r="A31" s="22" t="s">
        <v>174</v>
      </c>
      <c r="B31" s="22" t="s">
        <v>175</v>
      </c>
      <c r="C31" s="22" t="s">
        <v>176</v>
      </c>
      <c r="D31" s="22" t="s">
        <v>177</v>
      </c>
      <c r="E31" s="22" t="s">
        <v>178</v>
      </c>
      <c r="F31" s="22" t="s">
        <v>179</v>
      </c>
      <c r="G31" s="22" t="s">
        <v>180</v>
      </c>
      <c r="H31" s="22" t="s">
        <v>181</v>
      </c>
      <c r="I31" s="22" t="s">
        <v>182</v>
      </c>
      <c r="J31" s="22" t="s">
        <v>183</v>
      </c>
    </row>
    <row r="32" customFormat="false" ht="15" hidden="false" customHeight="false" outlineLevel="0" collapsed="false">
      <c r="A32" s="6" t="s">
        <v>184</v>
      </c>
      <c r="B32" s="30" t="n">
        <v>80</v>
      </c>
      <c r="C32" s="25" t="n">
        <v>450</v>
      </c>
      <c r="D32" s="27" t="n">
        <f aca="false">C32/SUM($C$32:$C$36)</f>
        <v>0.142857142857143</v>
      </c>
      <c r="E32" s="18" t="n">
        <f aca="false">B32*C32</f>
        <v>36000</v>
      </c>
      <c r="F32" s="18" t="n">
        <f aca="false">E32*'ENTRADAS PMO'!$E$13</f>
        <v>1800</v>
      </c>
      <c r="G32" s="18" t="n">
        <f aca="false">E32*'ENTRADAS PMO'!$E$14</f>
        <v>1080</v>
      </c>
      <c r="H32" s="18" t="n">
        <f aca="false">E32*'ENTRADAS PMO'!$E$15</f>
        <v>0</v>
      </c>
      <c r="I32" s="18" t="n">
        <f aca="false">E32-F32-G32-H32</f>
        <v>33120</v>
      </c>
      <c r="J32" s="27" t="n">
        <f aca="false">SUM($C$32:C32)/'ENTRADAS PMO'!$E$6</f>
        <v>0.128571428571429</v>
      </c>
    </row>
    <row r="33" customFormat="false" ht="15" hidden="false" customHeight="false" outlineLevel="0" collapsed="false">
      <c r="A33" s="6" t="s">
        <v>185</v>
      </c>
      <c r="B33" s="30" t="n">
        <v>95</v>
      </c>
      <c r="C33" s="25" t="n">
        <v>800</v>
      </c>
      <c r="D33" s="27" t="n">
        <f aca="false">C33/SUM($C$32:$C$36)</f>
        <v>0.253968253968254</v>
      </c>
      <c r="E33" s="18" t="n">
        <f aca="false">B33*C33</f>
        <v>76000</v>
      </c>
      <c r="F33" s="18" t="n">
        <f aca="false">E33*'ENTRADAS PMO'!$E$13</f>
        <v>3800</v>
      </c>
      <c r="G33" s="18" t="n">
        <f aca="false">E33*'ENTRADAS PMO'!$E$14</f>
        <v>2280</v>
      </c>
      <c r="H33" s="18" t="n">
        <f aca="false">E33*'ENTRADAS PMO'!$E$15</f>
        <v>0</v>
      </c>
      <c r="I33" s="18" t="n">
        <f aca="false">E33-F33-G33-H33</f>
        <v>69920</v>
      </c>
      <c r="J33" s="27" t="n">
        <f aca="false">SUM($C$32:C33)/'ENTRADAS PMO'!$E$6</f>
        <v>0.357142857142857</v>
      </c>
    </row>
    <row r="34" customFormat="false" ht="15" hidden="false" customHeight="false" outlineLevel="0" collapsed="false">
      <c r="A34" s="6" t="s">
        <v>186</v>
      </c>
      <c r="B34" s="30" t="n">
        <v>115</v>
      </c>
      <c r="C34" s="25" t="n">
        <v>950</v>
      </c>
      <c r="D34" s="27" t="n">
        <f aca="false">C34/SUM($C$32:$C$36)</f>
        <v>0.301587301587302</v>
      </c>
      <c r="E34" s="18" t="n">
        <f aca="false">B34*C34</f>
        <v>109250</v>
      </c>
      <c r="F34" s="18" t="n">
        <f aca="false">E34*'ENTRADAS PMO'!$E$13</f>
        <v>5462.5</v>
      </c>
      <c r="G34" s="18" t="n">
        <f aca="false">E34*'ENTRADAS PMO'!$E$14</f>
        <v>3277.5</v>
      </c>
      <c r="H34" s="18" t="n">
        <f aca="false">E34*'ENTRADAS PMO'!$E$15</f>
        <v>0</v>
      </c>
      <c r="I34" s="18" t="n">
        <f aca="false">E34-F34-G34-H34</f>
        <v>100510</v>
      </c>
      <c r="J34" s="27" t="n">
        <f aca="false">SUM($C$32:C34)/'ENTRADAS PMO'!$E$6</f>
        <v>0.628571428571429</v>
      </c>
    </row>
    <row r="35" customFormat="false" ht="15" hidden="false" customHeight="false" outlineLevel="0" collapsed="false">
      <c r="A35" s="6" t="s">
        <v>187</v>
      </c>
      <c r="B35" s="30" t="n">
        <v>130</v>
      </c>
      <c r="C35" s="25" t="n">
        <v>700</v>
      </c>
      <c r="D35" s="27" t="n">
        <f aca="false">C35/SUM($C$32:$C$36)</f>
        <v>0.222222222222222</v>
      </c>
      <c r="E35" s="18" t="n">
        <f aca="false">B35*C35</f>
        <v>91000</v>
      </c>
      <c r="F35" s="18" t="n">
        <f aca="false">E35*'ENTRADAS PMO'!$E$13</f>
        <v>4550</v>
      </c>
      <c r="G35" s="18" t="n">
        <f aca="false">E35*'ENTRADAS PMO'!$E$14</f>
        <v>2730</v>
      </c>
      <c r="H35" s="18" t="n">
        <f aca="false">E35*'ENTRADAS PMO'!$E$15</f>
        <v>0</v>
      </c>
      <c r="I35" s="18" t="n">
        <f aca="false">E35-F35-G35-H35</f>
        <v>83720</v>
      </c>
      <c r="J35" s="27" t="n">
        <f aca="false">SUM($C$32:C35)/'ENTRADAS PMO'!$E$6</f>
        <v>0.828571428571429</v>
      </c>
    </row>
    <row r="36" customFormat="false" ht="15" hidden="false" customHeight="false" outlineLevel="0" collapsed="false">
      <c r="A36" s="6" t="s">
        <v>188</v>
      </c>
      <c r="B36" s="30" t="n">
        <v>150</v>
      </c>
      <c r="C36" s="25" t="n">
        <v>250</v>
      </c>
      <c r="D36" s="27" t="n">
        <f aca="false">C36/SUM($C$32:$C$36)</f>
        <v>0.0793650793650794</v>
      </c>
      <c r="E36" s="18" t="n">
        <f aca="false">B36*C36</f>
        <v>37500</v>
      </c>
      <c r="F36" s="18" t="n">
        <f aca="false">E36*'ENTRADAS PMO'!$E$13</f>
        <v>1875</v>
      </c>
      <c r="G36" s="18" t="n">
        <f aca="false">E36*'ENTRADAS PMO'!$E$14</f>
        <v>1125</v>
      </c>
      <c r="H36" s="18" t="n">
        <f aca="false">E36*'ENTRADAS PMO'!$E$15</f>
        <v>0</v>
      </c>
      <c r="I36" s="18" t="n">
        <f aca="false">E36-F36-G36-H36</f>
        <v>34500</v>
      </c>
      <c r="J36" s="27" t="n">
        <f aca="false">SUM($C$32:C36)/'ENTRADAS PMO'!$E$6</f>
        <v>0.9</v>
      </c>
    </row>
    <row r="38" customFormat="false" ht="15" hidden="false" customHeight="false" outlineLevel="0" collapsed="false">
      <c r="A38" s="11" t="s">
        <v>189</v>
      </c>
      <c r="C38" s="26" t="n">
        <f aca="false">SUM(C32:C36)</f>
        <v>3150</v>
      </c>
    </row>
    <row r="39" customFormat="false" ht="15" hidden="false" customHeight="false" outlineLevel="0" collapsed="false">
      <c r="A39" s="11" t="s">
        <v>190</v>
      </c>
      <c r="C39" s="29" t="n">
        <f aca="false">SUM(E32:E36)/SUM(C32:C36)</f>
        <v>111.031746031746</v>
      </c>
    </row>
    <row r="40" customFormat="false" ht="15" hidden="false" customHeight="false" outlineLevel="0" collapsed="false">
      <c r="A40" s="11" t="s">
        <v>191</v>
      </c>
      <c r="C40" s="18" t="n">
        <f aca="false">SUM(E32:E36)</f>
        <v>349750</v>
      </c>
    </row>
    <row r="41" customFormat="false" ht="15" hidden="false" customHeight="false" outlineLevel="0" collapsed="false">
      <c r="A41" s="11" t="s">
        <v>192</v>
      </c>
      <c r="C41" s="18" t="n">
        <f aca="false">SUM(I32:I36)</f>
        <v>321770</v>
      </c>
    </row>
    <row r="43" customFormat="false" ht="15" hidden="false" customHeight="false" outlineLevel="0" collapsed="false">
      <c r="A43" s="13" t="s">
        <v>193</v>
      </c>
      <c r="B43" s="14"/>
      <c r="C43" s="14"/>
      <c r="D43" s="14"/>
      <c r="E43" s="14"/>
      <c r="F43" s="14"/>
      <c r="G43" s="14"/>
      <c r="H43" s="14"/>
      <c r="I43" s="14"/>
      <c r="J43" s="14"/>
    </row>
    <row r="44" customFormat="false" ht="15" hidden="false" customHeight="false" outlineLevel="0" collapsed="false">
      <c r="A44" s="6" t="s">
        <v>194</v>
      </c>
      <c r="C44" s="39"/>
    </row>
    <row r="45" customFormat="false" ht="15" hidden="false" customHeight="false" outlineLevel="0" collapsed="false">
      <c r="A45" s="6" t="s">
        <v>45</v>
      </c>
      <c r="C45" s="40" t="n">
        <f aca="true">TODAY()</f>
        <v>46268</v>
      </c>
    </row>
    <row r="46" customFormat="false" ht="15" hidden="false" customHeight="false" outlineLevel="0" collapsed="false">
      <c r="A46" s="6" t="s">
        <v>46</v>
      </c>
      <c r="C46" s="39"/>
    </row>
    <row r="47" customFormat="false" ht="15" hidden="false" customHeight="false" outlineLevel="0" collapsed="false">
      <c r="A47" s="6" t="s">
        <v>33</v>
      </c>
      <c r="C47" s="25" t="n">
        <v>0</v>
      </c>
    </row>
    <row r="48" customFormat="false" ht="15" hidden="false" customHeight="false" outlineLevel="0" collapsed="false">
      <c r="A48" s="6" t="s">
        <v>195</v>
      </c>
      <c r="C48" s="26" t="n">
        <f aca="false">'ENTRADAS PMO'!$D$6-VENDAS!$C$47</f>
        <v>3000</v>
      </c>
    </row>
    <row r="49" customFormat="false" ht="15" hidden="false" customHeight="false" outlineLevel="0" collapsed="false">
      <c r="A49" s="6" t="s">
        <v>49</v>
      </c>
      <c r="C49" s="27" t="n">
        <f aca="false">VENDAS!$C$47/'ENTRADAS PMO'!$D$6</f>
        <v>0</v>
      </c>
    </row>
    <row r="50" customFormat="false" ht="15" hidden="false" customHeight="false" outlineLevel="0" collapsed="false">
      <c r="A50" s="6" t="s">
        <v>196</v>
      </c>
      <c r="C50" s="18" t="n">
        <f aca="false">VENDAS!$C$47*VENDAS!$C$26</f>
        <v>0</v>
      </c>
    </row>
    <row r="51" customFormat="false" ht="15" hidden="false" customHeight="false" outlineLevel="0" collapsed="false">
      <c r="A51" s="6" t="s">
        <v>197</v>
      </c>
      <c r="C51" s="26" t="n">
        <f aca="false">VENDAS!$C$25</f>
        <v>2850</v>
      </c>
    </row>
    <row r="52" customFormat="false" ht="15" hidden="false" customHeight="false" outlineLevel="0" collapsed="false">
      <c r="A52" s="6" t="s">
        <v>198</v>
      </c>
      <c r="C52" s="26" t="n">
        <f aca="false">VENDAS!$C$51-VENDAS!$C$47</f>
        <v>2850</v>
      </c>
    </row>
    <row r="53" customFormat="false" ht="15" hidden="false" customHeight="false" outlineLevel="0" collapsed="false">
      <c r="A53" s="6" t="s">
        <v>199</v>
      </c>
      <c r="C53" s="26" t="n">
        <f aca="false">MAX(1,VENDAS!$C$45-VENDAS!$C$44)</f>
        <v>46268</v>
      </c>
    </row>
    <row r="54" customFormat="false" ht="15" hidden="false" customHeight="false" outlineLevel="0" collapsed="false">
      <c r="A54" s="6" t="s">
        <v>47</v>
      </c>
      <c r="C54" s="26" t="n">
        <f aca="false">MAX(0,VENDAS!$C$46-VENDAS!$C$45)</f>
        <v>0</v>
      </c>
    </row>
    <row r="55" customFormat="false" ht="15" hidden="false" customHeight="false" outlineLevel="0" collapsed="false">
      <c r="A55" s="6" t="s">
        <v>200</v>
      </c>
      <c r="C55" s="41" t="n">
        <f aca="false">VENDAS!$C$47/VENDAS!$C$53</f>
        <v>0</v>
      </c>
    </row>
    <row r="56" customFormat="false" ht="15" hidden="false" customHeight="false" outlineLevel="0" collapsed="false">
      <c r="A56" s="6" t="s">
        <v>52</v>
      </c>
      <c r="C56" s="41" t="n">
        <f aca="false">IF(VENDAS!$C$54=0,0,MAX(0,VENDAS!$C$52)/VENDAS!$C$54)</f>
        <v>0</v>
      </c>
    </row>
    <row r="57" customFormat="false" ht="15" hidden="false" customHeight="false" outlineLevel="0" collapsed="false">
      <c r="A57" s="6" t="s">
        <v>53</v>
      </c>
      <c r="C57" s="26" t="n">
        <f aca="false">VENDAS!$C$47+VENDAS!$C$55*VENDAS!$C$54</f>
        <v>0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34"/>
    <col collapsed="false" customWidth="true" hidden="false" outlineLevel="0" max="9" min="9" style="0" width="26"/>
  </cols>
  <sheetData>
    <row r="1" customFormat="false" ht="18.55" hidden="false" customHeight="false" outlineLevel="0" collapsed="false">
      <c r="A1" s="21" t="s">
        <v>201</v>
      </c>
    </row>
    <row r="2" customFormat="false" ht="15" hidden="false" customHeight="false" outlineLevel="0" collapsed="false">
      <c r="A2" s="2" t="s">
        <v>202</v>
      </c>
    </row>
    <row r="4" customFormat="false" ht="15" hidden="false" customHeight="false" outlineLevel="0" collapsed="false">
      <c r="A4" s="13" t="s">
        <v>203</v>
      </c>
      <c r="B4" s="14"/>
      <c r="C4" s="14"/>
      <c r="D4" s="14"/>
      <c r="E4" s="14"/>
      <c r="F4" s="14"/>
      <c r="G4" s="14"/>
      <c r="H4" s="14"/>
      <c r="I4" s="14"/>
    </row>
    <row r="5" customFormat="false" ht="15" hidden="false" customHeight="false" outlineLevel="0" collapsed="false">
      <c r="A5" s="22" t="s">
        <v>204</v>
      </c>
      <c r="B5" s="22" t="s">
        <v>205</v>
      </c>
      <c r="C5" s="22"/>
      <c r="D5" s="22"/>
      <c r="E5" s="22"/>
      <c r="F5" s="22"/>
      <c r="G5" s="22"/>
      <c r="H5" s="22"/>
      <c r="I5" s="22"/>
    </row>
    <row r="6" customFormat="false" ht="15" hidden="false" customHeight="false" outlineLevel="0" collapsed="false">
      <c r="A6" s="6" t="s">
        <v>206</v>
      </c>
      <c r="B6" s="28" t="n">
        <v>1</v>
      </c>
    </row>
    <row r="7" customFormat="false" ht="15" hidden="false" customHeight="false" outlineLevel="0" collapsed="false">
      <c r="A7" s="6" t="s">
        <v>207</v>
      </c>
      <c r="B7" s="28" t="n">
        <v>0.5</v>
      </c>
    </row>
    <row r="8" customFormat="false" ht="15" hidden="false" customHeight="false" outlineLevel="0" collapsed="false">
      <c r="A8" s="6" t="s">
        <v>208</v>
      </c>
      <c r="B8" s="28" t="n">
        <v>0.3</v>
      </c>
    </row>
    <row r="9" customFormat="false" ht="15" hidden="false" customHeight="false" outlineLevel="0" collapsed="false">
      <c r="A9" s="6" t="s">
        <v>209</v>
      </c>
      <c r="B9" s="28" t="n">
        <v>0.15</v>
      </c>
    </row>
    <row r="11" customFormat="false" ht="15" hidden="false" customHeight="false" outlineLevel="0" collapsed="false">
      <c r="A11" s="33" t="s">
        <v>2</v>
      </c>
      <c r="B11" s="34"/>
      <c r="C11" s="34"/>
      <c r="D11" s="34"/>
      <c r="E11" s="34"/>
      <c r="F11" s="34"/>
      <c r="G11" s="34"/>
      <c r="H11" s="34"/>
      <c r="I11" s="34"/>
    </row>
    <row r="12" customFormat="false" ht="15" hidden="false" customHeight="false" outlineLevel="0" collapsed="false">
      <c r="A12" s="22" t="s">
        <v>210</v>
      </c>
      <c r="B12" s="22" t="s">
        <v>211</v>
      </c>
      <c r="C12" s="22" t="s">
        <v>212</v>
      </c>
      <c r="D12" s="22" t="s">
        <v>204</v>
      </c>
      <c r="E12" s="22" t="s">
        <v>205</v>
      </c>
      <c r="F12" s="22" t="s">
        <v>213</v>
      </c>
      <c r="G12" s="22" t="s">
        <v>214</v>
      </c>
      <c r="H12" s="22" t="s">
        <v>215</v>
      </c>
      <c r="I12" s="22" t="s">
        <v>216</v>
      </c>
    </row>
    <row r="13" customFormat="false" ht="15" hidden="false" customHeight="false" outlineLevel="0" collapsed="false">
      <c r="A13" s="6" t="s">
        <v>217</v>
      </c>
      <c r="B13" s="31" t="n">
        <v>51000</v>
      </c>
      <c r="C13" s="25" t="n">
        <v>1</v>
      </c>
      <c r="D13" s="42" t="s">
        <v>208</v>
      </c>
      <c r="E13" s="27" t="n">
        <f aca="false">INDEX($B$6:$B$9,MATCH(D13,$A$6:$A$9,0))</f>
        <v>0.3</v>
      </c>
      <c r="F13" s="18" t="n">
        <f aca="false">B13*C13</f>
        <v>51000</v>
      </c>
      <c r="G13" s="18" t="n">
        <f aca="false">F13*E13</f>
        <v>15300</v>
      </c>
      <c r="H13" s="6" t="s">
        <v>218</v>
      </c>
      <c r="I13" s="6" t="s">
        <v>219</v>
      </c>
    </row>
    <row r="14" customFormat="false" ht="15" hidden="false" customHeight="false" outlineLevel="0" collapsed="false">
      <c r="A14" s="6" t="s">
        <v>220</v>
      </c>
      <c r="B14" s="31" t="n">
        <v>29800</v>
      </c>
      <c r="C14" s="25" t="n">
        <v>2</v>
      </c>
      <c r="D14" s="42" t="s">
        <v>208</v>
      </c>
      <c r="E14" s="27" t="n">
        <f aca="false">INDEX($B$6:$B$9,MATCH(D14,$A$6:$A$9,0))</f>
        <v>0.3</v>
      </c>
      <c r="F14" s="18" t="n">
        <f aca="false">B14*C14</f>
        <v>59600</v>
      </c>
      <c r="G14" s="18" t="n">
        <f aca="false">F14*E14</f>
        <v>17880</v>
      </c>
      <c r="H14" s="6" t="s">
        <v>221</v>
      </c>
      <c r="I14" s="6" t="s">
        <v>222</v>
      </c>
    </row>
    <row r="15" customFormat="false" ht="15" hidden="false" customHeight="false" outlineLevel="0" collapsed="false">
      <c r="A15" s="6" t="s">
        <v>223</v>
      </c>
      <c r="B15" s="31" t="n">
        <v>17000</v>
      </c>
      <c r="C15" s="25" t="n">
        <v>2</v>
      </c>
      <c r="D15" s="42" t="s">
        <v>208</v>
      </c>
      <c r="E15" s="27" t="n">
        <f aca="false">INDEX($B$6:$B$9,MATCH(D15,$A$6:$A$9,0))</f>
        <v>0.3</v>
      </c>
      <c r="F15" s="18" t="n">
        <f aca="false">B15*C15</f>
        <v>34000</v>
      </c>
      <c r="G15" s="18" t="n">
        <f aca="false">F15*E15</f>
        <v>10200</v>
      </c>
      <c r="H15" s="6" t="s">
        <v>224</v>
      </c>
      <c r="I15" s="6" t="s">
        <v>225</v>
      </c>
    </row>
    <row r="16" customFormat="false" ht="15" hidden="false" customHeight="false" outlineLevel="0" collapsed="false">
      <c r="A16" s="6" t="s">
        <v>226</v>
      </c>
      <c r="B16" s="31" t="n">
        <v>8500</v>
      </c>
      <c r="C16" s="25" t="n">
        <v>2</v>
      </c>
      <c r="D16" s="42" t="s">
        <v>209</v>
      </c>
      <c r="E16" s="27" t="n">
        <f aca="false">INDEX($B$6:$B$9,MATCH(D16,$A$6:$A$9,0))</f>
        <v>0.15</v>
      </c>
      <c r="F16" s="18" t="n">
        <f aca="false">B16*C16</f>
        <v>17000</v>
      </c>
      <c r="G16" s="18" t="n">
        <f aca="false">F16*E16</f>
        <v>2550</v>
      </c>
      <c r="H16" s="6" t="s">
        <v>227</v>
      </c>
      <c r="I16" s="6" t="s">
        <v>228</v>
      </c>
    </row>
    <row r="17" customFormat="false" ht="15" hidden="false" customHeight="false" outlineLevel="0" collapsed="false">
      <c r="A17" s="6" t="s">
        <v>229</v>
      </c>
      <c r="B17" s="31" t="n">
        <v>4200</v>
      </c>
      <c r="C17" s="25" t="n">
        <v>3</v>
      </c>
      <c r="D17" s="42" t="s">
        <v>209</v>
      </c>
      <c r="E17" s="27" t="n">
        <f aca="false">INDEX($B$6:$B$9,MATCH(D17,$A$6:$A$9,0))</f>
        <v>0.15</v>
      </c>
      <c r="F17" s="18" t="n">
        <f aca="false">B17*C17</f>
        <v>12600</v>
      </c>
      <c r="G17" s="18" t="n">
        <f aca="false">F17*E17</f>
        <v>1890</v>
      </c>
      <c r="H17" s="6" t="s">
        <v>230</v>
      </c>
      <c r="I17" s="6" t="s">
        <v>231</v>
      </c>
    </row>
    <row r="19" customFormat="false" ht="15" hidden="false" customHeight="false" outlineLevel="0" collapsed="false">
      <c r="A19" s="11" t="s">
        <v>232</v>
      </c>
      <c r="B19" s="26" t="n">
        <f aca="false">SUM(C13:C17)</f>
        <v>10</v>
      </c>
    </row>
    <row r="20" customFormat="false" ht="15" hidden="false" customHeight="false" outlineLevel="0" collapsed="false">
      <c r="A20" s="11" t="s">
        <v>91</v>
      </c>
      <c r="B20" s="18" t="n">
        <f aca="false">SUMIFS(F13:F17,D13:D17,"Contratado")</f>
        <v>0</v>
      </c>
    </row>
    <row r="21" customFormat="false" ht="15" hidden="false" customHeight="false" outlineLevel="0" collapsed="false">
      <c r="A21" s="11" t="s">
        <v>92</v>
      </c>
      <c r="B21" s="18" t="n">
        <f aca="false">SUMIFS(F13:F17,D13:D17,"&lt;&gt;Contratado")</f>
        <v>174200</v>
      </c>
    </row>
    <row r="22" customFormat="false" ht="15" hidden="false" customHeight="false" outlineLevel="0" collapsed="false">
      <c r="A22" s="11" t="s">
        <v>233</v>
      </c>
      <c r="B22" s="18" t="n">
        <f aca="false">SUM(G13:G17)</f>
        <v>47820</v>
      </c>
    </row>
    <row r="24" customFormat="false" ht="15" hidden="false" customHeight="false" outlineLevel="0" collapsed="false">
      <c r="A24" s="35" t="s">
        <v>3</v>
      </c>
      <c r="B24" s="36"/>
      <c r="C24" s="36"/>
      <c r="D24" s="36"/>
      <c r="E24" s="36"/>
      <c r="F24" s="36"/>
      <c r="G24" s="36"/>
      <c r="H24" s="36"/>
      <c r="I24" s="36"/>
    </row>
    <row r="25" customFormat="false" ht="15" hidden="false" customHeight="false" outlineLevel="0" collapsed="false">
      <c r="A25" s="22" t="s">
        <v>210</v>
      </c>
      <c r="B25" s="22" t="s">
        <v>211</v>
      </c>
      <c r="C25" s="22" t="s">
        <v>212</v>
      </c>
      <c r="D25" s="22" t="s">
        <v>204</v>
      </c>
      <c r="E25" s="22" t="s">
        <v>205</v>
      </c>
      <c r="F25" s="22" t="s">
        <v>213</v>
      </c>
      <c r="G25" s="22" t="s">
        <v>214</v>
      </c>
      <c r="H25" s="22" t="s">
        <v>215</v>
      </c>
      <c r="I25" s="22" t="s">
        <v>216</v>
      </c>
    </row>
    <row r="26" customFormat="false" ht="15" hidden="false" customHeight="false" outlineLevel="0" collapsed="false">
      <c r="A26" s="6" t="s">
        <v>217</v>
      </c>
      <c r="B26" s="31" t="n">
        <v>60000</v>
      </c>
      <c r="C26" s="25" t="n">
        <v>1</v>
      </c>
      <c r="D26" s="42" t="s">
        <v>206</v>
      </c>
      <c r="E26" s="27" t="n">
        <f aca="false">INDEX($B$6:$B$9,MATCH(D26,$A$6:$A$9,0))</f>
        <v>1</v>
      </c>
      <c r="F26" s="18" t="n">
        <f aca="false">B26*C26</f>
        <v>60000</v>
      </c>
      <c r="G26" s="18" t="n">
        <f aca="false">F26*E26</f>
        <v>60000</v>
      </c>
      <c r="H26" s="6" t="s">
        <v>218</v>
      </c>
      <c r="I26" s="6" t="s">
        <v>219</v>
      </c>
    </row>
    <row r="27" customFormat="false" ht="15" hidden="false" customHeight="false" outlineLevel="0" collapsed="false">
      <c r="A27" s="6" t="s">
        <v>220</v>
      </c>
      <c r="B27" s="31" t="n">
        <v>35000</v>
      </c>
      <c r="C27" s="25" t="n">
        <v>2</v>
      </c>
      <c r="D27" s="42" t="s">
        <v>207</v>
      </c>
      <c r="E27" s="27" t="n">
        <f aca="false">INDEX($B$6:$B$9,MATCH(D27,$A$6:$A$9,0))</f>
        <v>0.5</v>
      </c>
      <c r="F27" s="18" t="n">
        <f aca="false">B27*C27</f>
        <v>70000</v>
      </c>
      <c r="G27" s="18" t="n">
        <f aca="false">F27*E27</f>
        <v>35000</v>
      </c>
      <c r="H27" s="6" t="s">
        <v>221</v>
      </c>
      <c r="I27" s="6" t="s">
        <v>222</v>
      </c>
    </row>
    <row r="28" customFormat="false" ht="15" hidden="false" customHeight="false" outlineLevel="0" collapsed="false">
      <c r="A28" s="6" t="s">
        <v>223</v>
      </c>
      <c r="B28" s="31" t="n">
        <v>20000</v>
      </c>
      <c r="C28" s="25" t="n">
        <v>2</v>
      </c>
      <c r="D28" s="42" t="s">
        <v>207</v>
      </c>
      <c r="E28" s="27" t="n">
        <f aca="false">INDEX($B$6:$B$9,MATCH(D28,$A$6:$A$9,0))</f>
        <v>0.5</v>
      </c>
      <c r="F28" s="18" t="n">
        <f aca="false">B28*C28</f>
        <v>40000</v>
      </c>
      <c r="G28" s="18" t="n">
        <f aca="false">F28*E28</f>
        <v>20000</v>
      </c>
      <c r="H28" s="6" t="s">
        <v>224</v>
      </c>
      <c r="I28" s="6" t="s">
        <v>225</v>
      </c>
    </row>
    <row r="29" customFormat="false" ht="15" hidden="false" customHeight="false" outlineLevel="0" collapsed="false">
      <c r="A29" s="6" t="s">
        <v>226</v>
      </c>
      <c r="B29" s="31" t="n">
        <v>10000</v>
      </c>
      <c r="C29" s="25" t="n">
        <v>3</v>
      </c>
      <c r="D29" s="42" t="s">
        <v>208</v>
      </c>
      <c r="E29" s="27" t="n">
        <f aca="false">INDEX($B$6:$B$9,MATCH(D29,$A$6:$A$9,0))</f>
        <v>0.3</v>
      </c>
      <c r="F29" s="18" t="n">
        <f aca="false">B29*C29</f>
        <v>30000</v>
      </c>
      <c r="G29" s="18" t="n">
        <f aca="false">F29*E29</f>
        <v>9000</v>
      </c>
      <c r="H29" s="6" t="s">
        <v>227</v>
      </c>
      <c r="I29" s="6" t="s">
        <v>228</v>
      </c>
    </row>
    <row r="30" customFormat="false" ht="15" hidden="false" customHeight="false" outlineLevel="0" collapsed="false">
      <c r="A30" s="6" t="s">
        <v>229</v>
      </c>
      <c r="B30" s="31" t="n">
        <v>5000</v>
      </c>
      <c r="C30" s="25" t="n">
        <v>4</v>
      </c>
      <c r="D30" s="42" t="s">
        <v>209</v>
      </c>
      <c r="E30" s="27" t="n">
        <f aca="false">INDEX($B$6:$B$9,MATCH(D30,$A$6:$A$9,0))</f>
        <v>0.15</v>
      </c>
      <c r="F30" s="18" t="n">
        <f aca="false">B30*C30</f>
        <v>20000</v>
      </c>
      <c r="G30" s="18" t="n">
        <f aca="false">F30*E30</f>
        <v>3000</v>
      </c>
      <c r="H30" s="6" t="s">
        <v>230</v>
      </c>
      <c r="I30" s="6" t="s">
        <v>231</v>
      </c>
    </row>
    <row r="32" customFormat="false" ht="15" hidden="false" customHeight="false" outlineLevel="0" collapsed="false">
      <c r="A32" s="11" t="s">
        <v>232</v>
      </c>
      <c r="B32" s="26" t="n">
        <f aca="false">SUM(C26:C30)</f>
        <v>12</v>
      </c>
    </row>
    <row r="33" customFormat="false" ht="15" hidden="false" customHeight="false" outlineLevel="0" collapsed="false">
      <c r="A33" s="11" t="s">
        <v>91</v>
      </c>
      <c r="B33" s="18" t="n">
        <f aca="false">SUMIFS(F26:F30,D26:D30,"Contratado")</f>
        <v>60000</v>
      </c>
    </row>
    <row r="34" customFormat="false" ht="15" hidden="false" customHeight="false" outlineLevel="0" collapsed="false">
      <c r="A34" s="11" t="s">
        <v>92</v>
      </c>
      <c r="B34" s="18" t="n">
        <f aca="false">SUMIFS(F26:F30,D26:D30,"&lt;&gt;Contratado")</f>
        <v>160000</v>
      </c>
    </row>
    <row r="35" customFormat="false" ht="15" hidden="false" customHeight="false" outlineLevel="0" collapsed="false">
      <c r="A35" s="11" t="s">
        <v>233</v>
      </c>
      <c r="B35" s="18" t="n">
        <f aca="false">SUM(G26:G30)</f>
        <v>127000</v>
      </c>
    </row>
    <row r="37" customFormat="false" ht="15" hidden="false" customHeight="false" outlineLevel="0" collapsed="false">
      <c r="A37" s="37" t="s">
        <v>4</v>
      </c>
      <c r="B37" s="38"/>
      <c r="C37" s="38"/>
      <c r="D37" s="38"/>
      <c r="E37" s="38"/>
      <c r="F37" s="38"/>
      <c r="G37" s="38"/>
      <c r="H37" s="38"/>
      <c r="I37" s="38"/>
    </row>
    <row r="38" customFormat="false" ht="15" hidden="false" customHeight="false" outlineLevel="0" collapsed="false">
      <c r="A38" s="22" t="s">
        <v>210</v>
      </c>
      <c r="B38" s="22" t="s">
        <v>211</v>
      </c>
      <c r="C38" s="22" t="s">
        <v>212</v>
      </c>
      <c r="D38" s="22" t="s">
        <v>204</v>
      </c>
      <c r="E38" s="22" t="s">
        <v>205</v>
      </c>
      <c r="F38" s="22" t="s">
        <v>213</v>
      </c>
      <c r="G38" s="22" t="s">
        <v>214</v>
      </c>
      <c r="H38" s="22" t="s">
        <v>215</v>
      </c>
      <c r="I38" s="22" t="s">
        <v>216</v>
      </c>
    </row>
    <row r="39" customFormat="false" ht="15" hidden="false" customHeight="false" outlineLevel="0" collapsed="false">
      <c r="A39" s="6" t="s">
        <v>217</v>
      </c>
      <c r="B39" s="31" t="n">
        <v>72000</v>
      </c>
      <c r="C39" s="25" t="n">
        <v>1</v>
      </c>
      <c r="D39" s="42" t="s">
        <v>206</v>
      </c>
      <c r="E39" s="27" t="n">
        <f aca="false">INDEX($B$6:$B$9,MATCH(D39,$A$6:$A$9,0))</f>
        <v>1</v>
      </c>
      <c r="F39" s="18" t="n">
        <f aca="false">B39*C39</f>
        <v>72000</v>
      </c>
      <c r="G39" s="18" t="n">
        <f aca="false">F39*E39</f>
        <v>72000</v>
      </c>
      <c r="H39" s="6" t="s">
        <v>218</v>
      </c>
      <c r="I39" s="6" t="s">
        <v>219</v>
      </c>
    </row>
    <row r="40" customFormat="false" ht="15" hidden="false" customHeight="false" outlineLevel="0" collapsed="false">
      <c r="A40" s="6" t="s">
        <v>220</v>
      </c>
      <c r="B40" s="31" t="n">
        <v>42000</v>
      </c>
      <c r="C40" s="25" t="n">
        <v>3</v>
      </c>
      <c r="D40" s="42" t="s">
        <v>206</v>
      </c>
      <c r="E40" s="27" t="n">
        <f aca="false">INDEX($B$6:$B$9,MATCH(D40,$A$6:$A$9,0))</f>
        <v>1</v>
      </c>
      <c r="F40" s="18" t="n">
        <f aca="false">B40*C40</f>
        <v>126000</v>
      </c>
      <c r="G40" s="18" t="n">
        <f aca="false">F40*E40</f>
        <v>126000</v>
      </c>
      <c r="H40" s="6" t="s">
        <v>221</v>
      </c>
      <c r="I40" s="6" t="s">
        <v>222</v>
      </c>
    </row>
    <row r="41" customFormat="false" ht="15" hidden="false" customHeight="false" outlineLevel="0" collapsed="false">
      <c r="A41" s="6" t="s">
        <v>223</v>
      </c>
      <c r="B41" s="31" t="n">
        <v>24000</v>
      </c>
      <c r="C41" s="25" t="n">
        <v>3</v>
      </c>
      <c r="D41" s="42" t="s">
        <v>207</v>
      </c>
      <c r="E41" s="27" t="n">
        <f aca="false">INDEX($B$6:$B$9,MATCH(D41,$A$6:$A$9,0))</f>
        <v>0.5</v>
      </c>
      <c r="F41" s="18" t="n">
        <f aca="false">B41*C41</f>
        <v>72000</v>
      </c>
      <c r="G41" s="18" t="n">
        <f aca="false">F41*E41</f>
        <v>36000</v>
      </c>
      <c r="H41" s="6" t="s">
        <v>224</v>
      </c>
      <c r="I41" s="6" t="s">
        <v>225</v>
      </c>
    </row>
    <row r="42" customFormat="false" ht="15" hidden="false" customHeight="false" outlineLevel="0" collapsed="false">
      <c r="A42" s="6" t="s">
        <v>226</v>
      </c>
      <c r="B42" s="31" t="n">
        <v>12000</v>
      </c>
      <c r="C42" s="25" t="n">
        <v>4</v>
      </c>
      <c r="D42" s="42" t="s">
        <v>208</v>
      </c>
      <c r="E42" s="27" t="n">
        <f aca="false">INDEX($B$6:$B$9,MATCH(D42,$A$6:$A$9,0))</f>
        <v>0.3</v>
      </c>
      <c r="F42" s="18" t="n">
        <f aca="false">B42*C42</f>
        <v>48000</v>
      </c>
      <c r="G42" s="18" t="n">
        <f aca="false">F42*E42</f>
        <v>14400</v>
      </c>
      <c r="H42" s="6" t="s">
        <v>227</v>
      </c>
      <c r="I42" s="6" t="s">
        <v>228</v>
      </c>
    </row>
    <row r="43" customFormat="false" ht="15" hidden="false" customHeight="false" outlineLevel="0" collapsed="false">
      <c r="A43" s="6" t="s">
        <v>229</v>
      </c>
      <c r="B43" s="31" t="n">
        <v>6000</v>
      </c>
      <c r="C43" s="25" t="n">
        <v>5</v>
      </c>
      <c r="D43" s="42" t="s">
        <v>208</v>
      </c>
      <c r="E43" s="27" t="n">
        <f aca="false">INDEX($B$6:$B$9,MATCH(D43,$A$6:$A$9,0))</f>
        <v>0.3</v>
      </c>
      <c r="F43" s="18" t="n">
        <f aca="false">B43*C43</f>
        <v>30000</v>
      </c>
      <c r="G43" s="18" t="n">
        <f aca="false">F43*E43</f>
        <v>9000</v>
      </c>
      <c r="H43" s="6" t="s">
        <v>230</v>
      </c>
      <c r="I43" s="6" t="s">
        <v>231</v>
      </c>
    </row>
    <row r="45" customFormat="false" ht="15" hidden="false" customHeight="false" outlineLevel="0" collapsed="false">
      <c r="A45" s="11" t="s">
        <v>232</v>
      </c>
      <c r="B45" s="26" t="n">
        <f aca="false">SUM(C39:C43)</f>
        <v>16</v>
      </c>
    </row>
    <row r="46" customFormat="false" ht="15" hidden="false" customHeight="false" outlineLevel="0" collapsed="false">
      <c r="A46" s="11" t="s">
        <v>91</v>
      </c>
      <c r="B46" s="18" t="n">
        <f aca="false">SUMIFS(F39:F43,D39:D43,"Contratado")</f>
        <v>198000</v>
      </c>
    </row>
    <row r="47" customFormat="false" ht="15" hidden="false" customHeight="false" outlineLevel="0" collapsed="false">
      <c r="A47" s="11" t="s">
        <v>92</v>
      </c>
      <c r="B47" s="18" t="n">
        <f aca="false">SUMIFS(F39:F43,D39:D43,"&lt;&gt;Contratado")</f>
        <v>150000</v>
      </c>
    </row>
    <row r="48" customFormat="false" ht="15" hidden="false" customHeight="false" outlineLevel="0" collapsed="false">
      <c r="A48" s="11" t="s">
        <v>233</v>
      </c>
      <c r="B48" s="18" t="n">
        <f aca="false">SUM(G39:G43)</f>
        <v>257400</v>
      </c>
    </row>
  </sheetData>
  <sheetProtection sheet="true" formatCells="false" formatColumns="false" formatRows="false" sort="false" autoFilter="false"/>
  <dataValidations count="1">
    <dataValidation allowBlank="false" errorStyle="stop" operator="between" showDropDown="false" showErrorMessage="false" showInputMessage="false" sqref="D13:D17 D26:D30 D39:D43" type="list">
      <formula1>$A$6:$A$9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8" min="5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24"/>
  </cols>
  <sheetData>
    <row r="1" customFormat="false" ht="18.55" hidden="false" customHeight="false" outlineLevel="0" collapsed="false">
      <c r="A1" s="21" t="s">
        <v>234</v>
      </c>
    </row>
    <row r="2" customFormat="false" ht="15" hidden="false" customHeight="false" outlineLevel="0" collapsed="false">
      <c r="A2" s="2" t="s">
        <v>235</v>
      </c>
    </row>
    <row r="4" customFormat="false" ht="23.85" hidden="false" customHeight="false" outlineLevel="0" collapsed="false">
      <c r="A4" s="22" t="s">
        <v>236</v>
      </c>
      <c r="B4" s="22" t="s">
        <v>237</v>
      </c>
      <c r="C4" s="22" t="s">
        <v>238</v>
      </c>
      <c r="D4" s="22" t="s">
        <v>239</v>
      </c>
      <c r="E4" s="22" t="s">
        <v>240</v>
      </c>
      <c r="F4" s="22" t="s">
        <v>241</v>
      </c>
      <c r="G4" s="22" t="s">
        <v>242</v>
      </c>
      <c r="H4" s="22" t="s">
        <v>243</v>
      </c>
      <c r="I4" s="22" t="s">
        <v>244</v>
      </c>
      <c r="J4" s="22" t="s">
        <v>245</v>
      </c>
      <c r="K4" s="22" t="s">
        <v>246</v>
      </c>
      <c r="L4" s="22" t="s">
        <v>247</v>
      </c>
      <c r="M4" s="22" t="s">
        <v>248</v>
      </c>
      <c r="N4" s="22" t="s">
        <v>249</v>
      </c>
      <c r="O4" s="22" t="s">
        <v>250</v>
      </c>
    </row>
    <row r="5" customFormat="false" ht="15" hidden="false" customHeight="false" outlineLevel="0" collapsed="false">
      <c r="A5" s="6" t="s">
        <v>251</v>
      </c>
      <c r="B5" s="6" t="s">
        <v>108</v>
      </c>
      <c r="C5" s="42" t="s">
        <v>252</v>
      </c>
      <c r="D5" s="42"/>
      <c r="E5" s="7" t="n">
        <f aca="false">'ENTRADAS PMO'!$D$39</f>
        <v>180000</v>
      </c>
      <c r="F5" s="43" t="n">
        <f aca="false">E5</f>
        <v>180000</v>
      </c>
      <c r="G5" s="31" t="n">
        <v>0</v>
      </c>
      <c r="H5" s="31" t="n">
        <v>0</v>
      </c>
      <c r="I5" s="18" t="n">
        <f aca="false">G5-H5</f>
        <v>0</v>
      </c>
      <c r="J5" s="39" t="s">
        <v>253</v>
      </c>
      <c r="K5" s="39"/>
      <c r="L5" s="42" t="s">
        <v>206</v>
      </c>
      <c r="M5" s="42" t="s">
        <v>254</v>
      </c>
      <c r="N5" s="42"/>
      <c r="O5" s="18" t="n">
        <f aca="false">IF(F5&gt;=G5,F5,G5)</f>
        <v>180000</v>
      </c>
    </row>
    <row r="6" customFormat="false" ht="15" hidden="false" customHeight="false" outlineLevel="0" collapsed="false">
      <c r="A6" s="6" t="s">
        <v>251</v>
      </c>
      <c r="B6" s="6" t="s">
        <v>109</v>
      </c>
      <c r="C6" s="42"/>
      <c r="D6" s="42"/>
      <c r="E6" s="7" t="n">
        <f aca="false">'ENTRADAS PMO'!$D$40</f>
        <v>10000</v>
      </c>
      <c r="F6" s="43" t="n">
        <f aca="false">E6</f>
        <v>10000</v>
      </c>
      <c r="G6" s="31" t="n">
        <v>0</v>
      </c>
      <c r="H6" s="31" t="n">
        <v>0</v>
      </c>
      <c r="I6" s="18" t="n">
        <f aca="false">G6-H6</f>
        <v>0</v>
      </c>
      <c r="J6" s="39"/>
      <c r="K6" s="39"/>
      <c r="L6" s="42" t="s">
        <v>255</v>
      </c>
      <c r="M6" s="42"/>
      <c r="N6" s="42"/>
      <c r="O6" s="18" t="n">
        <f aca="false">IF(F6&gt;=G6,F6,G6)</f>
        <v>10000</v>
      </c>
    </row>
    <row r="7" customFormat="false" ht="15" hidden="false" customHeight="false" outlineLevel="0" collapsed="false">
      <c r="A7" s="6" t="s">
        <v>251</v>
      </c>
      <c r="B7" s="6" t="s">
        <v>110</v>
      </c>
      <c r="C7" s="42"/>
      <c r="D7" s="42"/>
      <c r="E7" s="7" t="n">
        <f aca="false">'ENTRADAS PMO'!$D$41</f>
        <v>7500</v>
      </c>
      <c r="F7" s="43" t="n">
        <f aca="false">E7</f>
        <v>7500</v>
      </c>
      <c r="G7" s="31" t="n">
        <v>0</v>
      </c>
      <c r="H7" s="31" t="n">
        <v>0</v>
      </c>
      <c r="I7" s="18" t="n">
        <f aca="false">G7-H7</f>
        <v>0</v>
      </c>
      <c r="J7" s="39"/>
      <c r="K7" s="39"/>
      <c r="L7" s="42" t="s">
        <v>255</v>
      </c>
      <c r="M7" s="42"/>
      <c r="N7" s="42"/>
      <c r="O7" s="18" t="n">
        <f aca="false">IF(F7&gt;=G7,F7,G7)</f>
        <v>7500</v>
      </c>
    </row>
    <row r="8" customFormat="false" ht="15" hidden="false" customHeight="false" outlineLevel="0" collapsed="false">
      <c r="A8" s="6" t="s">
        <v>251</v>
      </c>
      <c r="B8" s="6" t="s">
        <v>111</v>
      </c>
      <c r="C8" s="42"/>
      <c r="D8" s="42"/>
      <c r="E8" s="7" t="n">
        <f aca="false">'ENTRADAS PMO'!$D$42</f>
        <v>5000</v>
      </c>
      <c r="F8" s="43" t="n">
        <f aca="false">E8</f>
        <v>5000</v>
      </c>
      <c r="G8" s="31" t="n">
        <v>0</v>
      </c>
      <c r="H8" s="31" t="n">
        <v>0</v>
      </c>
      <c r="I8" s="18" t="n">
        <f aca="false">G8-H8</f>
        <v>0</v>
      </c>
      <c r="J8" s="39"/>
      <c r="K8" s="39"/>
      <c r="L8" s="42" t="s">
        <v>255</v>
      </c>
      <c r="M8" s="42"/>
      <c r="N8" s="42"/>
      <c r="O8" s="18" t="n">
        <f aca="false">IF(F8&gt;=G8,F8,G8)</f>
        <v>5000</v>
      </c>
    </row>
    <row r="9" customFormat="false" ht="15" hidden="false" customHeight="false" outlineLevel="0" collapsed="false">
      <c r="A9" s="6" t="s">
        <v>251</v>
      </c>
      <c r="B9" s="6" t="s">
        <v>112</v>
      </c>
      <c r="C9" s="42"/>
      <c r="D9" s="42"/>
      <c r="E9" s="7" t="n">
        <f aca="false">'ENTRADAS PMO'!$D$43</f>
        <v>2500</v>
      </c>
      <c r="F9" s="43" t="n">
        <f aca="false">E9</f>
        <v>2500</v>
      </c>
      <c r="G9" s="31" t="n">
        <v>0</v>
      </c>
      <c r="H9" s="31" t="n">
        <v>0</v>
      </c>
      <c r="I9" s="18" t="n">
        <f aca="false">G9-H9</f>
        <v>0</v>
      </c>
      <c r="J9" s="39"/>
      <c r="K9" s="39"/>
      <c r="L9" s="42" t="s">
        <v>255</v>
      </c>
      <c r="M9" s="42"/>
      <c r="N9" s="42"/>
      <c r="O9" s="18" t="n">
        <f aca="false">IF(F9&gt;=G9,F9,G9)</f>
        <v>2500</v>
      </c>
    </row>
    <row r="10" customFormat="false" ht="15" hidden="false" customHeight="false" outlineLevel="0" collapsed="false">
      <c r="A10" s="6" t="s">
        <v>256</v>
      </c>
      <c r="B10" s="6" t="s">
        <v>115</v>
      </c>
      <c r="C10" s="42"/>
      <c r="D10" s="42"/>
      <c r="E10" s="7" t="n">
        <f aca="false">'ENTRADAS PMO'!$D$47</f>
        <v>25200</v>
      </c>
      <c r="F10" s="43" t="n">
        <f aca="false">E10</f>
        <v>25200</v>
      </c>
      <c r="G10" s="31" t="n">
        <v>0</v>
      </c>
      <c r="H10" s="31" t="n">
        <v>0</v>
      </c>
      <c r="I10" s="18" t="n">
        <f aca="false">G10-H10</f>
        <v>0</v>
      </c>
      <c r="J10" s="39"/>
      <c r="K10" s="39"/>
      <c r="L10" s="42" t="s">
        <v>257</v>
      </c>
      <c r="M10" s="42" t="s">
        <v>258</v>
      </c>
      <c r="N10" s="42"/>
      <c r="O10" s="18" t="n">
        <f aca="false">IF(F10&gt;=G10,F10,G10)</f>
        <v>25200</v>
      </c>
    </row>
    <row r="11" customFormat="false" ht="15" hidden="false" customHeight="false" outlineLevel="0" collapsed="false">
      <c r="A11" s="6" t="s">
        <v>256</v>
      </c>
      <c r="B11" s="6" t="s">
        <v>116</v>
      </c>
      <c r="C11" s="42"/>
      <c r="D11" s="42"/>
      <c r="E11" s="7" t="n">
        <f aca="false">'ENTRADAS PMO'!$D$48</f>
        <v>16200</v>
      </c>
      <c r="F11" s="43" t="n">
        <f aca="false">E11</f>
        <v>16200</v>
      </c>
      <c r="G11" s="31" t="n">
        <v>0</v>
      </c>
      <c r="H11" s="31" t="n">
        <v>0</v>
      </c>
      <c r="I11" s="18" t="n">
        <f aca="false">G11-H11</f>
        <v>0</v>
      </c>
      <c r="J11" s="39"/>
      <c r="K11" s="39"/>
      <c r="L11" s="42" t="s">
        <v>257</v>
      </c>
      <c r="M11" s="42" t="s">
        <v>258</v>
      </c>
      <c r="N11" s="42"/>
      <c r="O11" s="18" t="n">
        <f aca="false">IF(F11&gt;=G11,F11,G11)</f>
        <v>16200</v>
      </c>
    </row>
    <row r="12" customFormat="false" ht="15" hidden="false" customHeight="false" outlineLevel="0" collapsed="false">
      <c r="A12" s="6" t="s">
        <v>256</v>
      </c>
      <c r="B12" s="6" t="s">
        <v>117</v>
      </c>
      <c r="C12" s="42"/>
      <c r="D12" s="42"/>
      <c r="E12" s="7" t="n">
        <f aca="false">'ENTRADAS PMO'!$D$49</f>
        <v>12600</v>
      </c>
      <c r="F12" s="43" t="n">
        <f aca="false">E12</f>
        <v>12600</v>
      </c>
      <c r="G12" s="31" t="n">
        <v>0</v>
      </c>
      <c r="H12" s="31" t="n">
        <v>0</v>
      </c>
      <c r="I12" s="18" t="n">
        <f aca="false">G12-H12</f>
        <v>0</v>
      </c>
      <c r="J12" s="39"/>
      <c r="K12" s="39"/>
      <c r="L12" s="42" t="s">
        <v>255</v>
      </c>
      <c r="M12" s="42"/>
      <c r="N12" s="42"/>
      <c r="O12" s="18" t="n">
        <f aca="false">IF(F12&gt;=G12,F12,G12)</f>
        <v>12600</v>
      </c>
    </row>
    <row r="13" customFormat="false" ht="15" hidden="false" customHeight="false" outlineLevel="0" collapsed="false">
      <c r="A13" s="6" t="s">
        <v>256</v>
      </c>
      <c r="B13" s="6" t="s">
        <v>118</v>
      </c>
      <c r="C13" s="42"/>
      <c r="D13" s="42"/>
      <c r="E13" s="7" t="n">
        <f aca="false">'ENTRADAS PMO'!$D$50</f>
        <v>10800</v>
      </c>
      <c r="F13" s="43" t="n">
        <f aca="false">E13</f>
        <v>10800</v>
      </c>
      <c r="G13" s="31" t="n">
        <v>0</v>
      </c>
      <c r="H13" s="31" t="n">
        <v>0</v>
      </c>
      <c r="I13" s="18" t="n">
        <f aca="false">G13-H13</f>
        <v>0</v>
      </c>
      <c r="J13" s="39"/>
      <c r="K13" s="39"/>
      <c r="L13" s="42" t="s">
        <v>255</v>
      </c>
      <c r="M13" s="42"/>
      <c r="N13" s="42"/>
      <c r="O13" s="18" t="n">
        <f aca="false">IF(F13&gt;=G13,F13,G13)</f>
        <v>10800</v>
      </c>
    </row>
    <row r="14" customFormat="false" ht="15" hidden="false" customHeight="false" outlineLevel="0" collapsed="false">
      <c r="A14" s="6" t="s">
        <v>256</v>
      </c>
      <c r="B14" s="6" t="s">
        <v>119</v>
      </c>
      <c r="C14" s="42"/>
      <c r="D14" s="42"/>
      <c r="E14" s="7" t="n">
        <f aca="false">'ENTRADAS PMO'!$D$51</f>
        <v>8100</v>
      </c>
      <c r="F14" s="43" t="n">
        <f aca="false">E14</f>
        <v>8100</v>
      </c>
      <c r="G14" s="31" t="n">
        <v>0</v>
      </c>
      <c r="H14" s="31" t="n">
        <v>0</v>
      </c>
      <c r="I14" s="18" t="n">
        <f aca="false">G14-H14</f>
        <v>0</v>
      </c>
      <c r="J14" s="39"/>
      <c r="K14" s="39"/>
      <c r="L14" s="42" t="s">
        <v>255</v>
      </c>
      <c r="M14" s="42"/>
      <c r="N14" s="42"/>
      <c r="O14" s="18" t="n">
        <f aca="false">IF(F14&gt;=G14,F14,G14)</f>
        <v>8100</v>
      </c>
    </row>
    <row r="15" customFormat="false" ht="15" hidden="false" customHeight="false" outlineLevel="0" collapsed="false">
      <c r="A15" s="6" t="s">
        <v>256</v>
      </c>
      <c r="B15" s="6" t="s">
        <v>120</v>
      </c>
      <c r="C15" s="42"/>
      <c r="D15" s="42"/>
      <c r="E15" s="7" t="n">
        <f aca="false">'ENTRADAS PMO'!$D$52</f>
        <v>5400</v>
      </c>
      <c r="F15" s="43" t="n">
        <f aca="false">E15</f>
        <v>5400</v>
      </c>
      <c r="G15" s="31" t="n">
        <v>0</v>
      </c>
      <c r="H15" s="31" t="n">
        <v>0</v>
      </c>
      <c r="I15" s="18" t="n">
        <f aca="false">G15-H15</f>
        <v>0</v>
      </c>
      <c r="J15" s="39"/>
      <c r="K15" s="39"/>
      <c r="L15" s="42" t="s">
        <v>255</v>
      </c>
      <c r="M15" s="42"/>
      <c r="N15" s="42"/>
      <c r="O15" s="18" t="n">
        <f aca="false">IF(F15&gt;=G15,F15,G15)</f>
        <v>5400</v>
      </c>
    </row>
    <row r="16" customFormat="false" ht="15" hidden="false" customHeight="false" outlineLevel="0" collapsed="false">
      <c r="A16" s="6" t="s">
        <v>256</v>
      </c>
      <c r="B16" s="6" t="s">
        <v>121</v>
      </c>
      <c r="C16" s="42"/>
      <c r="D16" s="42"/>
      <c r="E16" s="7" t="n">
        <f aca="false">'ENTRADAS PMO'!$D$53</f>
        <v>4500</v>
      </c>
      <c r="F16" s="43" t="n">
        <f aca="false">E16</f>
        <v>4500</v>
      </c>
      <c r="G16" s="31" t="n">
        <v>0</v>
      </c>
      <c r="H16" s="31" t="n">
        <v>0</v>
      </c>
      <c r="I16" s="18" t="n">
        <f aca="false">G16-H16</f>
        <v>0</v>
      </c>
      <c r="J16" s="39"/>
      <c r="K16" s="39"/>
      <c r="L16" s="42" t="s">
        <v>255</v>
      </c>
      <c r="M16" s="42"/>
      <c r="N16" s="42"/>
      <c r="O16" s="18" t="n">
        <f aca="false">IF(F16&gt;=G16,F16,G16)</f>
        <v>4500</v>
      </c>
    </row>
    <row r="17" customFormat="false" ht="15" hidden="false" customHeight="false" outlineLevel="0" collapsed="false">
      <c r="A17" s="6" t="s">
        <v>256</v>
      </c>
      <c r="B17" s="6" t="s">
        <v>122</v>
      </c>
      <c r="C17" s="42"/>
      <c r="D17" s="42"/>
      <c r="E17" s="7" t="n">
        <f aca="false">'ENTRADAS PMO'!$D$54</f>
        <v>3600</v>
      </c>
      <c r="F17" s="43" t="n">
        <f aca="false">E17</f>
        <v>3600</v>
      </c>
      <c r="G17" s="31" t="n">
        <v>0</v>
      </c>
      <c r="H17" s="31" t="n">
        <v>0</v>
      </c>
      <c r="I17" s="18" t="n">
        <f aca="false">G17-H17</f>
        <v>0</v>
      </c>
      <c r="J17" s="39"/>
      <c r="K17" s="39"/>
      <c r="L17" s="42" t="s">
        <v>255</v>
      </c>
      <c r="M17" s="42"/>
      <c r="N17" s="42"/>
      <c r="O17" s="18" t="n">
        <f aca="false">IF(F17&gt;=G17,F17,G17)</f>
        <v>3600</v>
      </c>
    </row>
    <row r="18" customFormat="false" ht="15" hidden="false" customHeight="false" outlineLevel="0" collapsed="false">
      <c r="A18" s="6" t="s">
        <v>256</v>
      </c>
      <c r="B18" s="6" t="s">
        <v>123</v>
      </c>
      <c r="C18" s="42"/>
      <c r="D18" s="42"/>
      <c r="E18" s="7" t="n">
        <f aca="false">'ENTRADAS PMO'!$D$55</f>
        <v>1800</v>
      </c>
      <c r="F18" s="43" t="n">
        <f aca="false">E18</f>
        <v>1800</v>
      </c>
      <c r="G18" s="31" t="n">
        <v>0</v>
      </c>
      <c r="H18" s="31" t="n">
        <v>0</v>
      </c>
      <c r="I18" s="18" t="n">
        <f aca="false">G18-H18</f>
        <v>0</v>
      </c>
      <c r="J18" s="39"/>
      <c r="K18" s="39"/>
      <c r="L18" s="42" t="s">
        <v>255</v>
      </c>
      <c r="M18" s="42"/>
      <c r="N18" s="42"/>
      <c r="O18" s="18" t="n">
        <f aca="false">IF(F18&gt;=G18,F18,G18)</f>
        <v>1800</v>
      </c>
    </row>
    <row r="19" customFormat="false" ht="15" hidden="false" customHeight="false" outlineLevel="0" collapsed="false">
      <c r="A19" s="6" t="s">
        <v>256</v>
      </c>
      <c r="B19" s="6" t="s">
        <v>124</v>
      </c>
      <c r="C19" s="42"/>
      <c r="D19" s="42"/>
      <c r="E19" s="7" t="n">
        <f aca="false">'ENTRADAS PMO'!$D$56</f>
        <v>900</v>
      </c>
      <c r="F19" s="43" t="n">
        <f aca="false">E19</f>
        <v>900</v>
      </c>
      <c r="G19" s="31" t="n">
        <v>0</v>
      </c>
      <c r="H19" s="31" t="n">
        <v>0</v>
      </c>
      <c r="I19" s="18" t="n">
        <f aca="false">G19-H19</f>
        <v>0</v>
      </c>
      <c r="J19" s="39"/>
      <c r="K19" s="39"/>
      <c r="L19" s="42" t="s">
        <v>255</v>
      </c>
      <c r="M19" s="42"/>
      <c r="N19" s="42"/>
      <c r="O19" s="18" t="n">
        <f aca="false">IF(F19&gt;=G19,F19,G19)</f>
        <v>900</v>
      </c>
    </row>
    <row r="20" customFormat="false" ht="15" hidden="false" customHeight="false" outlineLevel="0" collapsed="false">
      <c r="A20" s="6" t="s">
        <v>256</v>
      </c>
      <c r="B20" s="6" t="s">
        <v>125</v>
      </c>
      <c r="C20" s="42"/>
      <c r="D20" s="42"/>
      <c r="E20" s="7" t="n">
        <f aca="false">'ENTRADAS PMO'!$D$57</f>
        <v>900</v>
      </c>
      <c r="F20" s="43" t="n">
        <f aca="false">E20</f>
        <v>900</v>
      </c>
      <c r="G20" s="31" t="n">
        <v>0</v>
      </c>
      <c r="H20" s="31" t="n">
        <v>0</v>
      </c>
      <c r="I20" s="18" t="n">
        <f aca="false">G20-H20</f>
        <v>0</v>
      </c>
      <c r="J20" s="39"/>
      <c r="K20" s="39"/>
      <c r="L20" s="42" t="s">
        <v>255</v>
      </c>
      <c r="M20" s="42"/>
      <c r="N20" s="42"/>
      <c r="O20" s="18" t="n">
        <f aca="false">IF(F20&gt;=G20,F20,G20)</f>
        <v>900</v>
      </c>
    </row>
    <row r="21" customFormat="false" ht="15" hidden="false" customHeight="false" outlineLevel="0" collapsed="false">
      <c r="A21" s="6" t="s">
        <v>128</v>
      </c>
      <c r="B21" s="6" t="s">
        <v>128</v>
      </c>
      <c r="C21" s="42"/>
      <c r="D21" s="42"/>
      <c r="E21" s="7" t="n">
        <f aca="false">'ENTRADAS PMO'!$D$61</f>
        <v>14000</v>
      </c>
      <c r="F21" s="43" t="n">
        <f aca="false">E21</f>
        <v>14000</v>
      </c>
      <c r="G21" s="31" t="n">
        <v>0</v>
      </c>
      <c r="H21" s="31" t="n">
        <v>0</v>
      </c>
      <c r="I21" s="18" t="n">
        <f aca="false">G21-H21</f>
        <v>0</v>
      </c>
      <c r="J21" s="39"/>
      <c r="K21" s="39"/>
      <c r="L21" s="42" t="s">
        <v>255</v>
      </c>
      <c r="M21" s="42"/>
      <c r="N21" s="42"/>
      <c r="O21" s="18" t="n">
        <f aca="false">IF(F21&gt;=G21,F21,G21)</f>
        <v>14000</v>
      </c>
    </row>
    <row r="22" customFormat="false" ht="15" hidden="false" customHeight="false" outlineLevel="0" collapsed="false">
      <c r="A22" s="6" t="s">
        <v>128</v>
      </c>
      <c r="B22" s="6" t="s">
        <v>129</v>
      </c>
      <c r="C22" s="42"/>
      <c r="D22" s="42"/>
      <c r="E22" s="7" t="n">
        <f aca="false">'ENTRADAS PMO'!$D$62</f>
        <v>3500</v>
      </c>
      <c r="F22" s="43" t="n">
        <f aca="false">E22</f>
        <v>3500</v>
      </c>
      <c r="G22" s="31" t="n">
        <v>0</v>
      </c>
      <c r="H22" s="31" t="n">
        <v>0</v>
      </c>
      <c r="I22" s="18" t="n">
        <f aca="false">G22-H22</f>
        <v>0</v>
      </c>
      <c r="J22" s="39"/>
      <c r="K22" s="39"/>
      <c r="L22" s="42" t="s">
        <v>255</v>
      </c>
      <c r="M22" s="42"/>
      <c r="N22" s="42"/>
      <c r="O22" s="18" t="n">
        <f aca="false">IF(F22&gt;=G22,F22,G22)</f>
        <v>3500</v>
      </c>
    </row>
    <row r="23" customFormat="false" ht="15" hidden="false" customHeight="false" outlineLevel="0" collapsed="false">
      <c r="A23" s="6" t="s">
        <v>128</v>
      </c>
      <c r="B23" s="6" t="s">
        <v>130</v>
      </c>
      <c r="C23" s="42"/>
      <c r="D23" s="42"/>
      <c r="E23" s="7" t="n">
        <f aca="false">'ENTRADAS PMO'!$D$63</f>
        <v>2500</v>
      </c>
      <c r="F23" s="43" t="n">
        <f aca="false">E23</f>
        <v>2500</v>
      </c>
      <c r="G23" s="31" t="n">
        <v>0</v>
      </c>
      <c r="H23" s="31" t="n">
        <v>0</v>
      </c>
      <c r="I23" s="18" t="n">
        <f aca="false">G23-H23</f>
        <v>0</v>
      </c>
      <c r="J23" s="39"/>
      <c r="K23" s="39"/>
      <c r="L23" s="42" t="s">
        <v>255</v>
      </c>
      <c r="M23" s="42"/>
      <c r="N23" s="42"/>
      <c r="O23" s="18" t="n">
        <f aca="false">IF(F23&gt;=G23,F23,G23)</f>
        <v>2500</v>
      </c>
    </row>
    <row r="24" customFormat="false" ht="15" hidden="false" customHeight="false" outlineLevel="0" collapsed="false">
      <c r="A24" s="6" t="s">
        <v>128</v>
      </c>
      <c r="B24" s="6" t="s">
        <v>131</v>
      </c>
      <c r="C24" s="42"/>
      <c r="D24" s="42"/>
      <c r="E24" s="7" t="n">
        <f aca="false">'ENTRADAS PMO'!$D$64</f>
        <v>2500</v>
      </c>
      <c r="F24" s="43" t="n">
        <f aca="false">E24</f>
        <v>2500</v>
      </c>
      <c r="G24" s="31" t="n">
        <v>0</v>
      </c>
      <c r="H24" s="31" t="n">
        <v>0</v>
      </c>
      <c r="I24" s="18" t="n">
        <f aca="false">G24-H24</f>
        <v>0</v>
      </c>
      <c r="J24" s="39"/>
      <c r="K24" s="39"/>
      <c r="L24" s="42" t="s">
        <v>255</v>
      </c>
      <c r="M24" s="42"/>
      <c r="N24" s="42"/>
      <c r="O24" s="18" t="n">
        <f aca="false">IF(F24&gt;=G24,F24,G24)</f>
        <v>2500</v>
      </c>
    </row>
    <row r="25" customFormat="false" ht="15" hidden="false" customHeight="false" outlineLevel="0" collapsed="false">
      <c r="A25" s="6" t="s">
        <v>258</v>
      </c>
      <c r="B25" s="6" t="s">
        <v>132</v>
      </c>
      <c r="C25" s="42"/>
      <c r="D25" s="42"/>
      <c r="E25" s="7" t="n">
        <f aca="false">'ENTRADAS PMO'!$D$65</f>
        <v>4500</v>
      </c>
      <c r="F25" s="43" t="n">
        <f aca="false">E25</f>
        <v>4500</v>
      </c>
      <c r="G25" s="31" t="n">
        <v>0</v>
      </c>
      <c r="H25" s="31" t="n">
        <v>0</v>
      </c>
      <c r="I25" s="18" t="n">
        <f aca="false">G25-H25</f>
        <v>0</v>
      </c>
      <c r="J25" s="39"/>
      <c r="K25" s="39"/>
      <c r="L25" s="42" t="s">
        <v>255</v>
      </c>
      <c r="M25" s="42"/>
      <c r="N25" s="42"/>
      <c r="O25" s="18" t="n">
        <f aca="false">IF(F25&gt;=G25,F25,G25)</f>
        <v>4500</v>
      </c>
    </row>
    <row r="26" customFormat="false" ht="15" hidden="false" customHeight="false" outlineLevel="0" collapsed="false">
      <c r="A26" s="6" t="s">
        <v>258</v>
      </c>
      <c r="B26" s="6" t="s">
        <v>133</v>
      </c>
      <c r="C26" s="42"/>
      <c r="D26" s="42"/>
      <c r="E26" s="7" t="n">
        <f aca="false">'ENTRADAS PMO'!$D$66</f>
        <v>3000</v>
      </c>
      <c r="F26" s="43" t="n">
        <f aca="false">E26</f>
        <v>3000</v>
      </c>
      <c r="G26" s="31" t="n">
        <v>0</v>
      </c>
      <c r="H26" s="31" t="n">
        <v>0</v>
      </c>
      <c r="I26" s="18" t="n">
        <f aca="false">G26-H26</f>
        <v>0</v>
      </c>
      <c r="J26" s="39"/>
      <c r="K26" s="39"/>
      <c r="L26" s="42" t="s">
        <v>255</v>
      </c>
      <c r="M26" s="42"/>
      <c r="N26" s="42"/>
      <c r="O26" s="18" t="n">
        <f aca="false">IF(F26&gt;=G26,F26,G26)</f>
        <v>3000</v>
      </c>
    </row>
    <row r="27" customFormat="false" ht="15" hidden="false" customHeight="false" outlineLevel="0" collapsed="false">
      <c r="A27" s="6" t="s">
        <v>258</v>
      </c>
      <c r="B27" s="6" t="s">
        <v>134</v>
      </c>
      <c r="C27" s="42"/>
      <c r="D27" s="42"/>
      <c r="E27" s="7" t="n">
        <f aca="false">'ENTRADAS PMO'!$D$67</f>
        <v>11000</v>
      </c>
      <c r="F27" s="43" t="n">
        <f aca="false">E27</f>
        <v>11000</v>
      </c>
      <c r="G27" s="31" t="n">
        <v>0</v>
      </c>
      <c r="H27" s="31" t="n">
        <v>0</v>
      </c>
      <c r="I27" s="18" t="n">
        <f aca="false">G27-H27</f>
        <v>0</v>
      </c>
      <c r="J27" s="39"/>
      <c r="K27" s="39"/>
      <c r="L27" s="42" t="s">
        <v>255</v>
      </c>
      <c r="M27" s="42"/>
      <c r="N27" s="42"/>
      <c r="O27" s="18" t="n">
        <f aca="false">IF(F27&gt;=G27,F27,G27)</f>
        <v>11000</v>
      </c>
    </row>
    <row r="28" customFormat="false" ht="15" hidden="false" customHeight="false" outlineLevel="0" collapsed="false">
      <c r="A28" s="6" t="s">
        <v>258</v>
      </c>
      <c r="B28" s="6" t="s">
        <v>135</v>
      </c>
      <c r="C28" s="42"/>
      <c r="D28" s="42"/>
      <c r="E28" s="7" t="n">
        <f aca="false">'ENTRADAS PMO'!$D$68</f>
        <v>4500</v>
      </c>
      <c r="F28" s="43" t="n">
        <f aca="false">E28</f>
        <v>4500</v>
      </c>
      <c r="G28" s="31" t="n">
        <v>0</v>
      </c>
      <c r="H28" s="31" t="n">
        <v>0</v>
      </c>
      <c r="I28" s="18" t="n">
        <f aca="false">G28-H28</f>
        <v>0</v>
      </c>
      <c r="J28" s="39"/>
      <c r="K28" s="39"/>
      <c r="L28" s="42" t="s">
        <v>255</v>
      </c>
      <c r="M28" s="42"/>
      <c r="N28" s="42"/>
      <c r="O28" s="18" t="n">
        <f aca="false">IF(F28&gt;=G28,F28,G28)</f>
        <v>4500</v>
      </c>
    </row>
    <row r="29" customFormat="false" ht="15" hidden="false" customHeight="false" outlineLevel="0" collapsed="false">
      <c r="A29" s="6" t="s">
        <v>259</v>
      </c>
      <c r="B29" s="6" t="s">
        <v>136</v>
      </c>
      <c r="C29" s="42"/>
      <c r="D29" s="42"/>
      <c r="E29" s="7" t="n">
        <f aca="false">'ENTRADAS PMO'!$D$69</f>
        <v>2000</v>
      </c>
      <c r="F29" s="43" t="n">
        <f aca="false">E29</f>
        <v>2000</v>
      </c>
      <c r="G29" s="31" t="n">
        <v>0</v>
      </c>
      <c r="H29" s="31" t="n">
        <v>0</v>
      </c>
      <c r="I29" s="18" t="n">
        <f aca="false">G29-H29</f>
        <v>0</v>
      </c>
      <c r="J29" s="39"/>
      <c r="K29" s="39"/>
      <c r="L29" s="42" t="s">
        <v>255</v>
      </c>
      <c r="M29" s="42"/>
      <c r="N29" s="42"/>
      <c r="O29" s="18" t="n">
        <f aca="false">IF(F29&gt;=G29,F29,G29)</f>
        <v>2000</v>
      </c>
    </row>
    <row r="30" customFormat="false" ht="15" hidden="false" customHeight="false" outlineLevel="0" collapsed="false">
      <c r="A30" s="6" t="s">
        <v>259</v>
      </c>
      <c r="B30" s="6" t="s">
        <v>137</v>
      </c>
      <c r="C30" s="42"/>
      <c r="D30" s="42"/>
      <c r="E30" s="7" t="n">
        <f aca="false">'ENTRADAS PMO'!$D$70</f>
        <v>1500</v>
      </c>
      <c r="F30" s="43" t="n">
        <f aca="false">E30</f>
        <v>1500</v>
      </c>
      <c r="G30" s="31" t="n">
        <v>0</v>
      </c>
      <c r="H30" s="31" t="n">
        <v>0</v>
      </c>
      <c r="I30" s="18" t="n">
        <f aca="false">G30-H30</f>
        <v>0</v>
      </c>
      <c r="J30" s="39"/>
      <c r="K30" s="39"/>
      <c r="L30" s="42" t="s">
        <v>255</v>
      </c>
      <c r="M30" s="42"/>
      <c r="N30" s="42"/>
      <c r="O30" s="18" t="n">
        <f aca="false">IF(F30&gt;=G30,F30,G30)</f>
        <v>1500</v>
      </c>
    </row>
    <row r="31" customFormat="false" ht="15" hidden="false" customHeight="false" outlineLevel="0" collapsed="false">
      <c r="A31" s="6" t="s">
        <v>259</v>
      </c>
      <c r="B31" s="6" t="s">
        <v>138</v>
      </c>
      <c r="C31" s="42"/>
      <c r="D31" s="42"/>
      <c r="E31" s="7" t="n">
        <f aca="false">'ENTRADAS PMO'!$D$71</f>
        <v>1000</v>
      </c>
      <c r="F31" s="43" t="n">
        <f aca="false">E31</f>
        <v>1000</v>
      </c>
      <c r="G31" s="31" t="n">
        <v>0</v>
      </c>
      <c r="H31" s="31" t="n">
        <v>0</v>
      </c>
      <c r="I31" s="18" t="n">
        <f aca="false">G31-H31</f>
        <v>0</v>
      </c>
      <c r="J31" s="39"/>
      <c r="K31" s="39"/>
      <c r="L31" s="42" t="s">
        <v>255</v>
      </c>
      <c r="M31" s="42"/>
      <c r="N31" s="42"/>
      <c r="O31" s="18" t="n">
        <f aca="false">IF(F31&gt;=G31,F31,G31)</f>
        <v>1000</v>
      </c>
    </row>
    <row r="32" customFormat="false" ht="15" hidden="false" customHeight="false" outlineLevel="0" collapsed="false">
      <c r="A32" s="6" t="s">
        <v>260</v>
      </c>
      <c r="B32" s="6" t="s">
        <v>141</v>
      </c>
      <c r="C32" s="42"/>
      <c r="D32" s="42"/>
      <c r="E32" s="7" t="n">
        <f aca="false">'ENTRADAS PMO'!$D$75</f>
        <v>11200</v>
      </c>
      <c r="F32" s="43" t="n">
        <f aca="false">E32</f>
        <v>11200</v>
      </c>
      <c r="G32" s="31" t="n">
        <v>0</v>
      </c>
      <c r="H32" s="31" t="n">
        <v>0</v>
      </c>
      <c r="I32" s="18" t="n">
        <f aca="false">G32-H32</f>
        <v>0</v>
      </c>
      <c r="J32" s="39"/>
      <c r="K32" s="39"/>
      <c r="L32" s="42" t="s">
        <v>255</v>
      </c>
      <c r="M32" s="42"/>
      <c r="N32" s="42"/>
      <c r="O32" s="18" t="n">
        <f aca="false">IF(F32&gt;=G32,F32,G32)</f>
        <v>11200</v>
      </c>
    </row>
    <row r="33" customFormat="false" ht="15" hidden="false" customHeight="false" outlineLevel="0" collapsed="false">
      <c r="A33" s="6" t="s">
        <v>260</v>
      </c>
      <c r="B33" s="6" t="s">
        <v>142</v>
      </c>
      <c r="C33" s="42"/>
      <c r="D33" s="42"/>
      <c r="E33" s="7" t="n">
        <f aca="false">'ENTRADAS PMO'!$D$76</f>
        <v>5600</v>
      </c>
      <c r="F33" s="43" t="n">
        <f aca="false">E33</f>
        <v>5600</v>
      </c>
      <c r="G33" s="31" t="n">
        <v>0</v>
      </c>
      <c r="H33" s="31" t="n">
        <v>0</v>
      </c>
      <c r="I33" s="18" t="n">
        <f aca="false">G33-H33</f>
        <v>0</v>
      </c>
      <c r="J33" s="39"/>
      <c r="K33" s="39"/>
      <c r="L33" s="42" t="s">
        <v>255</v>
      </c>
      <c r="M33" s="42"/>
      <c r="N33" s="42"/>
      <c r="O33" s="18" t="n">
        <f aca="false">IF(F33&gt;=G33,F33,G33)</f>
        <v>5600</v>
      </c>
    </row>
    <row r="34" customFormat="false" ht="15" hidden="false" customHeight="false" outlineLevel="0" collapsed="false">
      <c r="A34" s="6" t="s">
        <v>260</v>
      </c>
      <c r="B34" s="6" t="s">
        <v>143</v>
      </c>
      <c r="C34" s="42"/>
      <c r="D34" s="42"/>
      <c r="E34" s="7" t="n">
        <f aca="false">'ENTRADAS PMO'!$D$77</f>
        <v>3500</v>
      </c>
      <c r="F34" s="43" t="n">
        <f aca="false">E34</f>
        <v>3500</v>
      </c>
      <c r="G34" s="31" t="n">
        <v>0</v>
      </c>
      <c r="H34" s="31" t="n">
        <v>0</v>
      </c>
      <c r="I34" s="18" t="n">
        <f aca="false">G34-H34</f>
        <v>0</v>
      </c>
      <c r="J34" s="39"/>
      <c r="K34" s="39"/>
      <c r="L34" s="42" t="s">
        <v>255</v>
      </c>
      <c r="M34" s="42"/>
      <c r="N34" s="42"/>
      <c r="O34" s="18" t="n">
        <f aca="false">IF(F34&gt;=G34,F34,G34)</f>
        <v>3500</v>
      </c>
    </row>
    <row r="35" customFormat="false" ht="15" hidden="false" customHeight="false" outlineLevel="0" collapsed="false">
      <c r="A35" s="6" t="s">
        <v>260</v>
      </c>
      <c r="B35" s="6" t="s">
        <v>144</v>
      </c>
      <c r="C35" s="42"/>
      <c r="D35" s="42"/>
      <c r="E35" s="7" t="n">
        <f aca="false">'ENTRADAS PMO'!$D$78</f>
        <v>3500</v>
      </c>
      <c r="F35" s="43" t="n">
        <f aca="false">E35</f>
        <v>3500</v>
      </c>
      <c r="G35" s="31" t="n">
        <v>0</v>
      </c>
      <c r="H35" s="31" t="n">
        <v>0</v>
      </c>
      <c r="I35" s="18" t="n">
        <f aca="false">G35-H35</f>
        <v>0</v>
      </c>
      <c r="J35" s="39"/>
      <c r="K35" s="39"/>
      <c r="L35" s="42" t="s">
        <v>255</v>
      </c>
      <c r="M35" s="42"/>
      <c r="N35" s="42"/>
      <c r="O35" s="18" t="n">
        <f aca="false">IF(F35&gt;=G35,F35,G35)</f>
        <v>3500</v>
      </c>
    </row>
    <row r="36" customFormat="false" ht="15" hidden="false" customHeight="false" outlineLevel="0" collapsed="false">
      <c r="A36" s="6" t="s">
        <v>260</v>
      </c>
      <c r="B36" s="6" t="s">
        <v>145</v>
      </c>
      <c r="C36" s="42"/>
      <c r="D36" s="42"/>
      <c r="E36" s="7" t="n">
        <f aca="false">'ENTRADAS PMO'!$D$79</f>
        <v>3500</v>
      </c>
      <c r="F36" s="43" t="n">
        <f aca="false">E36</f>
        <v>3500</v>
      </c>
      <c r="G36" s="31" t="n">
        <v>0</v>
      </c>
      <c r="H36" s="31" t="n">
        <v>0</v>
      </c>
      <c r="I36" s="18" t="n">
        <f aca="false">G36-H36</f>
        <v>0</v>
      </c>
      <c r="J36" s="39"/>
      <c r="K36" s="39"/>
      <c r="L36" s="42" t="s">
        <v>255</v>
      </c>
      <c r="M36" s="42"/>
      <c r="N36" s="42"/>
      <c r="O36" s="18" t="n">
        <f aca="false">IF(F36&gt;=G36,F36,G36)</f>
        <v>3500</v>
      </c>
    </row>
    <row r="37" customFormat="false" ht="15" hidden="false" customHeight="false" outlineLevel="0" collapsed="false">
      <c r="A37" s="6" t="s">
        <v>260</v>
      </c>
      <c r="B37" s="6" t="s">
        <v>146</v>
      </c>
      <c r="C37" s="42"/>
      <c r="D37" s="42"/>
      <c r="E37" s="7" t="n">
        <f aca="false">'ENTRADAS PMO'!$D$80</f>
        <v>2800</v>
      </c>
      <c r="F37" s="43" t="n">
        <f aca="false">E37</f>
        <v>2800</v>
      </c>
      <c r="G37" s="31" t="n">
        <v>0</v>
      </c>
      <c r="H37" s="31" t="n">
        <v>0</v>
      </c>
      <c r="I37" s="18" t="n">
        <f aca="false">G37-H37</f>
        <v>0</v>
      </c>
      <c r="J37" s="39"/>
      <c r="K37" s="39"/>
      <c r="L37" s="42" t="s">
        <v>255</v>
      </c>
      <c r="M37" s="42"/>
      <c r="N37" s="42"/>
      <c r="O37" s="18" t="n">
        <f aca="false">IF(F37&gt;=G37,F37,G37)</f>
        <v>2800</v>
      </c>
    </row>
    <row r="38" customFormat="false" ht="15" hidden="false" customHeight="false" outlineLevel="0" collapsed="false">
      <c r="A38" s="6" t="s">
        <v>260</v>
      </c>
      <c r="B38" s="6" t="s">
        <v>147</v>
      </c>
      <c r="C38" s="42"/>
      <c r="D38" s="42"/>
      <c r="E38" s="7" t="n">
        <f aca="false">'ENTRADAS PMO'!$D$81</f>
        <v>2800</v>
      </c>
      <c r="F38" s="43" t="n">
        <f aca="false">E38</f>
        <v>2800</v>
      </c>
      <c r="G38" s="31" t="n">
        <v>0</v>
      </c>
      <c r="H38" s="31" t="n">
        <v>0</v>
      </c>
      <c r="I38" s="18" t="n">
        <f aca="false">G38-H38</f>
        <v>0</v>
      </c>
      <c r="J38" s="39"/>
      <c r="K38" s="39"/>
      <c r="L38" s="42" t="s">
        <v>255</v>
      </c>
      <c r="M38" s="42"/>
      <c r="N38" s="42"/>
      <c r="O38" s="18" t="n">
        <f aca="false">IF(F38&gt;=G38,F38,G38)</f>
        <v>2800</v>
      </c>
    </row>
    <row r="39" customFormat="false" ht="15" hidden="false" customHeight="false" outlineLevel="0" collapsed="false">
      <c r="A39" s="6" t="s">
        <v>260</v>
      </c>
      <c r="B39" s="6" t="s">
        <v>148</v>
      </c>
      <c r="C39" s="42"/>
      <c r="D39" s="42"/>
      <c r="E39" s="7" t="n">
        <f aca="false">'ENTRADAS PMO'!$D$82</f>
        <v>1400</v>
      </c>
      <c r="F39" s="43" t="n">
        <f aca="false">E39</f>
        <v>1400</v>
      </c>
      <c r="G39" s="31" t="n">
        <v>0</v>
      </c>
      <c r="H39" s="31" t="n">
        <v>0</v>
      </c>
      <c r="I39" s="18" t="n">
        <f aca="false">G39-H39</f>
        <v>0</v>
      </c>
      <c r="J39" s="39"/>
      <c r="K39" s="39"/>
      <c r="L39" s="42" t="s">
        <v>255</v>
      </c>
      <c r="M39" s="42"/>
      <c r="N39" s="42"/>
      <c r="O39" s="18" t="n">
        <f aca="false">IF(F39&gt;=G39,F39,G39)</f>
        <v>1400</v>
      </c>
    </row>
    <row r="40" customFormat="false" ht="15" hidden="false" customHeight="false" outlineLevel="0" collapsed="false">
      <c r="A40" s="6" t="s">
        <v>260</v>
      </c>
      <c r="B40" s="6" t="s">
        <v>149</v>
      </c>
      <c r="C40" s="42"/>
      <c r="D40" s="42"/>
      <c r="E40" s="7" t="n">
        <f aca="false">'ENTRADAS PMO'!$D$83</f>
        <v>700</v>
      </c>
      <c r="F40" s="43" t="n">
        <f aca="false">E40</f>
        <v>700</v>
      </c>
      <c r="G40" s="31" t="n">
        <v>0</v>
      </c>
      <c r="H40" s="31" t="n">
        <v>0</v>
      </c>
      <c r="I40" s="18" t="n">
        <f aca="false">G40-H40</f>
        <v>0</v>
      </c>
      <c r="J40" s="39"/>
      <c r="K40" s="39"/>
      <c r="L40" s="42" t="s">
        <v>255</v>
      </c>
      <c r="M40" s="42"/>
      <c r="N40" s="42"/>
      <c r="O40" s="18" t="n">
        <f aca="false">IF(F40&gt;=G40,F40,G40)</f>
        <v>700</v>
      </c>
    </row>
    <row r="41" customFormat="false" ht="15" hidden="false" customHeight="false" outlineLevel="0" collapsed="false">
      <c r="A41" s="6" t="s">
        <v>261</v>
      </c>
      <c r="B41" s="6" t="s">
        <v>152</v>
      </c>
      <c r="C41" s="42"/>
      <c r="D41" s="42"/>
      <c r="E41" s="7" t="n">
        <f aca="false">'ENTRADAS PMO'!$D$87</f>
        <v>8400</v>
      </c>
      <c r="F41" s="43" t="n">
        <f aca="false">E41</f>
        <v>8400</v>
      </c>
      <c r="G41" s="31" t="n">
        <v>0</v>
      </c>
      <c r="H41" s="31" t="n">
        <v>0</v>
      </c>
      <c r="I41" s="18" t="n">
        <f aca="false">G41-H41</f>
        <v>0</v>
      </c>
      <c r="J41" s="39"/>
      <c r="K41" s="39"/>
      <c r="L41" s="42" t="s">
        <v>255</v>
      </c>
      <c r="M41" s="42"/>
      <c r="N41" s="42"/>
      <c r="O41" s="18" t="n">
        <f aca="false">IF(F41&gt;=G41,F41,G41)</f>
        <v>8400</v>
      </c>
    </row>
    <row r="42" customFormat="false" ht="15" hidden="false" customHeight="false" outlineLevel="0" collapsed="false">
      <c r="A42" s="6" t="s">
        <v>261</v>
      </c>
      <c r="B42" s="6" t="s">
        <v>153</v>
      </c>
      <c r="C42" s="42"/>
      <c r="D42" s="42"/>
      <c r="E42" s="7" t="n">
        <f aca="false">'ENTRADAS PMO'!$D$88</f>
        <v>4500</v>
      </c>
      <c r="F42" s="43" t="n">
        <f aca="false">E42</f>
        <v>4500</v>
      </c>
      <c r="G42" s="31" t="n">
        <v>0</v>
      </c>
      <c r="H42" s="31" t="n">
        <v>0</v>
      </c>
      <c r="I42" s="18" t="n">
        <f aca="false">G42-H42</f>
        <v>0</v>
      </c>
      <c r="J42" s="39"/>
      <c r="K42" s="39"/>
      <c r="L42" s="42" t="s">
        <v>255</v>
      </c>
      <c r="M42" s="42"/>
      <c r="N42" s="42"/>
      <c r="O42" s="18" t="n">
        <f aca="false">IF(F42&gt;=G42,F42,G42)</f>
        <v>4500</v>
      </c>
    </row>
    <row r="43" customFormat="false" ht="15" hidden="false" customHeight="false" outlineLevel="0" collapsed="false">
      <c r="A43" s="6" t="s">
        <v>261</v>
      </c>
      <c r="B43" s="6" t="s">
        <v>154</v>
      </c>
      <c r="C43" s="42"/>
      <c r="D43" s="42"/>
      <c r="E43" s="7" t="n">
        <f aca="false">'ENTRADAS PMO'!$D$89</f>
        <v>9000</v>
      </c>
      <c r="F43" s="43" t="n">
        <f aca="false">E43</f>
        <v>9000</v>
      </c>
      <c r="G43" s="31" t="n">
        <v>0</v>
      </c>
      <c r="H43" s="31" t="n">
        <v>0</v>
      </c>
      <c r="I43" s="18" t="n">
        <f aca="false">G43-H43</f>
        <v>0</v>
      </c>
      <c r="J43" s="39"/>
      <c r="K43" s="39"/>
      <c r="L43" s="42" t="s">
        <v>255</v>
      </c>
      <c r="M43" s="42"/>
      <c r="N43" s="42"/>
      <c r="O43" s="18" t="n">
        <f aca="false">IF(F43&gt;=G43,F43,G43)</f>
        <v>9000</v>
      </c>
    </row>
    <row r="44" customFormat="false" ht="15" hidden="false" customHeight="false" outlineLevel="0" collapsed="false">
      <c r="A44" s="6" t="s">
        <v>261</v>
      </c>
      <c r="B44" s="6" t="s">
        <v>155</v>
      </c>
      <c r="C44" s="42"/>
      <c r="D44" s="42"/>
      <c r="E44" s="7" t="n">
        <f aca="false">'ENTRADAS PMO'!$D$90</f>
        <v>3600</v>
      </c>
      <c r="F44" s="43" t="n">
        <f aca="false">E44</f>
        <v>3600</v>
      </c>
      <c r="G44" s="31" t="n">
        <v>0</v>
      </c>
      <c r="H44" s="31" t="n">
        <v>0</v>
      </c>
      <c r="I44" s="18" t="n">
        <f aca="false">G44-H44</f>
        <v>0</v>
      </c>
      <c r="J44" s="39"/>
      <c r="K44" s="39"/>
      <c r="L44" s="42" t="s">
        <v>255</v>
      </c>
      <c r="M44" s="42"/>
      <c r="N44" s="42"/>
      <c r="O44" s="18" t="n">
        <f aca="false">IF(F44&gt;=G44,F44,G44)</f>
        <v>3600</v>
      </c>
    </row>
    <row r="45" customFormat="false" ht="15" hidden="false" customHeight="false" outlineLevel="0" collapsed="false">
      <c r="A45" s="6" t="s">
        <v>261</v>
      </c>
      <c r="B45" s="6" t="s">
        <v>156</v>
      </c>
      <c r="C45" s="42"/>
      <c r="D45" s="42"/>
      <c r="E45" s="7" t="n">
        <f aca="false">'ENTRADAS PMO'!$D$91</f>
        <v>3000</v>
      </c>
      <c r="F45" s="43" t="n">
        <f aca="false">E45</f>
        <v>3000</v>
      </c>
      <c r="G45" s="31" t="n">
        <v>0</v>
      </c>
      <c r="H45" s="31" t="n">
        <v>0</v>
      </c>
      <c r="I45" s="18" t="n">
        <f aca="false">G45-H45</f>
        <v>0</v>
      </c>
      <c r="J45" s="39"/>
      <c r="K45" s="39"/>
      <c r="L45" s="42" t="s">
        <v>255</v>
      </c>
      <c r="M45" s="42"/>
      <c r="N45" s="42"/>
      <c r="O45" s="18" t="n">
        <f aca="false">IF(F45&gt;=G45,F45,G45)</f>
        <v>3000</v>
      </c>
    </row>
    <row r="46" customFormat="false" ht="15" hidden="false" customHeight="false" outlineLevel="0" collapsed="false">
      <c r="A46" s="6" t="s">
        <v>261</v>
      </c>
      <c r="B46" s="6" t="s">
        <v>157</v>
      </c>
      <c r="C46" s="42"/>
      <c r="D46" s="42"/>
      <c r="E46" s="7" t="n">
        <f aca="false">'ENTRADAS PMO'!$D$92</f>
        <v>1500</v>
      </c>
      <c r="F46" s="43" t="n">
        <f aca="false">E46</f>
        <v>1500</v>
      </c>
      <c r="G46" s="31" t="n">
        <v>0</v>
      </c>
      <c r="H46" s="31" t="n">
        <v>0</v>
      </c>
      <c r="I46" s="18" t="n">
        <f aca="false">G46-H46</f>
        <v>0</v>
      </c>
      <c r="J46" s="39"/>
      <c r="K46" s="39"/>
      <c r="L46" s="42" t="s">
        <v>255</v>
      </c>
      <c r="M46" s="42"/>
      <c r="N46" s="42"/>
      <c r="O46" s="18" t="n">
        <f aca="false">IF(F46&gt;=G46,F46,G46)</f>
        <v>1500</v>
      </c>
    </row>
    <row r="47" customFormat="false" ht="15" hidden="false" customHeight="false" outlineLevel="0" collapsed="false">
      <c r="A47" s="6" t="s">
        <v>262</v>
      </c>
      <c r="B47" s="6" t="s">
        <v>163</v>
      </c>
      <c r="C47" s="42"/>
      <c r="D47" s="42"/>
      <c r="E47" s="7" t="n">
        <f aca="false">'ENTRADAS PMO'!$D$99</f>
        <v>6000</v>
      </c>
      <c r="F47" s="43" t="n">
        <f aca="false">E47</f>
        <v>6000</v>
      </c>
      <c r="G47" s="31" t="n">
        <v>0</v>
      </c>
      <c r="H47" s="31" t="n">
        <v>0</v>
      </c>
      <c r="I47" s="18" t="n">
        <f aca="false">G47-H47</f>
        <v>0</v>
      </c>
      <c r="J47" s="39"/>
      <c r="K47" s="39"/>
      <c r="L47" s="42" t="s">
        <v>255</v>
      </c>
      <c r="M47" s="42" t="s">
        <v>263</v>
      </c>
      <c r="N47" s="42"/>
      <c r="O47" s="18" t="n">
        <f aca="false">IF(F47&gt;=G47,F47,G47)</f>
        <v>6000</v>
      </c>
    </row>
    <row r="48" customFormat="false" ht="15" hidden="false" customHeight="false" outlineLevel="0" collapsed="false">
      <c r="A48" s="6" t="s">
        <v>262</v>
      </c>
      <c r="B48" s="6" t="s">
        <v>264</v>
      </c>
      <c r="C48" s="42"/>
      <c r="D48" s="42"/>
      <c r="E48" s="7" t="n">
        <f aca="false">'ENTRADAS PMO'!$D$104</f>
        <v>24551.325</v>
      </c>
      <c r="F48" s="43" t="n">
        <f aca="false">E48</f>
        <v>24551.325</v>
      </c>
      <c r="G48" s="31" t="n">
        <v>0</v>
      </c>
      <c r="H48" s="31" t="n">
        <v>0</v>
      </c>
      <c r="I48" s="18" t="n">
        <f aca="false">G48-H48</f>
        <v>0</v>
      </c>
      <c r="J48" s="39"/>
      <c r="K48" s="39"/>
      <c r="L48" s="42" t="s">
        <v>255</v>
      </c>
      <c r="M48" s="42" t="s">
        <v>263</v>
      </c>
      <c r="N48" s="42"/>
      <c r="O48" s="18" t="n">
        <f aca="false">IF(F48&gt;=G48,F48,G48)</f>
        <v>24551.325</v>
      </c>
    </row>
    <row r="49" customFormat="false" ht="15" hidden="false" customHeight="false" outlineLevel="0" collapsed="false">
      <c r="A49" s="6" t="s">
        <v>265</v>
      </c>
      <c r="B49" s="6" t="s">
        <v>266</v>
      </c>
      <c r="C49" s="42"/>
      <c r="D49" s="42" t="s">
        <v>267</v>
      </c>
      <c r="E49" s="7" t="n">
        <f aca="false">'ENTRADAS PMO'!$D$106</f>
        <v>35244.106</v>
      </c>
      <c r="F49" s="43" t="n">
        <f aca="false">E49</f>
        <v>35244.106</v>
      </c>
      <c r="G49" s="31" t="n">
        <v>0</v>
      </c>
      <c r="H49" s="31" t="n">
        <v>0</v>
      </c>
      <c r="I49" s="18" t="n">
        <f aca="false">G49-H49</f>
        <v>0</v>
      </c>
      <c r="J49" s="39"/>
      <c r="K49" s="39"/>
      <c r="L49" s="42" t="s">
        <v>255</v>
      </c>
      <c r="M49" s="42" t="s">
        <v>263</v>
      </c>
      <c r="N49" s="42"/>
      <c r="O49" s="18" t="n">
        <f aca="false">IF(F49&gt;=G49,F49,G49)</f>
        <v>35244.106</v>
      </c>
    </row>
    <row r="51" customFormat="false" ht="15" hidden="false" customHeight="false" outlineLevel="0" collapsed="false">
      <c r="A51" s="13" t="s">
        <v>268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customFormat="false" ht="15" hidden="false" customHeight="false" outlineLevel="0" collapsed="false">
      <c r="A52" s="11" t="s">
        <v>269</v>
      </c>
      <c r="C52" s="18" t="n">
        <f aca="false">SUM(F5:F49)</f>
        <v>475795.431</v>
      </c>
    </row>
    <row r="53" customFormat="false" ht="15" hidden="false" customHeight="false" outlineLevel="0" collapsed="false">
      <c r="A53" s="11" t="s">
        <v>270</v>
      </c>
      <c r="C53" s="18" t="n">
        <f aca="false">SUM(H5:H49)</f>
        <v>0</v>
      </c>
    </row>
    <row r="54" customFormat="false" ht="15" hidden="false" customHeight="false" outlineLevel="0" collapsed="false">
      <c r="A54" s="11" t="s">
        <v>271</v>
      </c>
      <c r="C54" s="18" t="n">
        <f aca="false">SUM(G5:G49)</f>
        <v>0</v>
      </c>
    </row>
    <row r="55" customFormat="false" ht="15" hidden="false" customHeight="false" outlineLevel="0" collapsed="false">
      <c r="A55" s="11" t="s">
        <v>272</v>
      </c>
      <c r="C55" s="18" t="n">
        <f aca="false">SUM(O5:O49)</f>
        <v>475795.431</v>
      </c>
    </row>
    <row r="56" customFormat="false" ht="15" hidden="false" customHeight="false" outlineLevel="0" collapsed="false">
      <c r="A56" s="11" t="s">
        <v>273</v>
      </c>
      <c r="C56" s="18" t="n">
        <f aca="false">CUSTOS!$C$55-CUSTOS!$C$53</f>
        <v>475795.431</v>
      </c>
    </row>
    <row r="57" customFormat="false" ht="15" hidden="false" customHeight="false" outlineLevel="0" collapsed="false">
      <c r="A57" s="11" t="s">
        <v>274</v>
      </c>
      <c r="C57" s="18" t="n">
        <f aca="false">CUSTOS!$C$52-CUSTOS!$C$55</f>
        <v>0</v>
      </c>
    </row>
    <row r="58" customFormat="false" ht="15" hidden="false" customHeight="false" outlineLevel="0" collapsed="false">
      <c r="A58" s="11" t="s">
        <v>275</v>
      </c>
      <c r="C58" s="27" t="n">
        <f aca="false">CUSTOS!$C$54/CUSTOS!$C$52</f>
        <v>0</v>
      </c>
    </row>
    <row r="59" customFormat="false" ht="15" hidden="false" customHeight="false" outlineLevel="0" collapsed="false">
      <c r="A59" s="11" t="s">
        <v>276</v>
      </c>
      <c r="C59" s="27" t="n">
        <f aca="false">CUSTOS!$C$53/CUSTOS!$C$52</f>
        <v>0</v>
      </c>
    </row>
  </sheetData>
  <sheetProtection sheet="true" formatCells="false" formatColumns="false" formatRows="false" sort="false" autoFilter="false"/>
  <dataValidations count="1">
    <dataValidation allowBlank="true" errorStyle="stop" operator="between" showDropDown="false" showErrorMessage="false" showInputMessage="false" sqref="L5:L49" type="list">
      <formula1>"Não iniciado,Em cotação,Contratado,Pago Parcial,Pago Total,Cancelado"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3" min="2" style="0" width="14"/>
  </cols>
  <sheetData>
    <row r="1" customFormat="false" ht="18.55" hidden="false" customHeight="false" outlineLevel="0" collapsed="false">
      <c r="A1" s="2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13" t="s">
        <v>279</v>
      </c>
      <c r="B4" s="14"/>
      <c r="C4" s="14"/>
      <c r="D4" s="14"/>
    </row>
    <row r="5" customFormat="false" ht="15" hidden="false" customHeight="false" outlineLevel="0" collapsed="false">
      <c r="A5" s="6" t="s">
        <v>280</v>
      </c>
      <c r="B5" s="28" t="n">
        <v>0.1</v>
      </c>
    </row>
    <row r="6" customFormat="false" ht="15" hidden="false" customHeight="false" outlineLevel="0" collapsed="false">
      <c r="A6" s="6" t="s">
        <v>281</v>
      </c>
      <c r="B6" s="28" t="n">
        <v>0.15</v>
      </c>
    </row>
    <row r="7" customFormat="false" ht="15" hidden="false" customHeight="false" outlineLevel="0" collapsed="false">
      <c r="A7" s="6" t="s">
        <v>282</v>
      </c>
      <c r="B7" s="28" t="n">
        <v>0</v>
      </c>
    </row>
    <row r="9" customFormat="false" ht="23.85" hidden="false" customHeight="false" outlineLevel="0" collapsed="false">
      <c r="A9" s="22" t="s">
        <v>283</v>
      </c>
      <c r="B9" s="22" t="s">
        <v>284</v>
      </c>
      <c r="C9" s="22" t="s">
        <v>285</v>
      </c>
      <c r="D9" s="22" t="s">
        <v>286</v>
      </c>
      <c r="E9" s="22" t="s">
        <v>14</v>
      </c>
      <c r="F9" s="22" t="s">
        <v>287</v>
      </c>
      <c r="G9" s="22" t="s">
        <v>288</v>
      </c>
      <c r="H9" s="22" t="s">
        <v>289</v>
      </c>
      <c r="I9" s="22" t="s">
        <v>290</v>
      </c>
      <c r="J9" s="22" t="s">
        <v>291</v>
      </c>
      <c r="K9" s="22" t="s">
        <v>292</v>
      </c>
      <c r="L9" s="22" t="s">
        <v>293</v>
      </c>
      <c r="M9" s="22" t="s">
        <v>294</v>
      </c>
      <c r="N9" s="22" t="s">
        <v>295</v>
      </c>
      <c r="O9" s="22" t="s">
        <v>296</v>
      </c>
      <c r="P9" s="22" t="s">
        <v>297</v>
      </c>
      <c r="Q9" s="22" t="s">
        <v>298</v>
      </c>
      <c r="R9" s="22" t="s">
        <v>299</v>
      </c>
      <c r="S9" s="22" t="s">
        <v>300</v>
      </c>
      <c r="T9" s="22" t="s">
        <v>301</v>
      </c>
      <c r="U9" s="22" t="s">
        <v>302</v>
      </c>
      <c r="V9" s="22" t="s">
        <v>247</v>
      </c>
      <c r="W9" s="22" t="s">
        <v>303</v>
      </c>
    </row>
    <row r="10" customFormat="false" ht="15" hidden="false" customHeight="false" outlineLevel="0" collapsed="false">
      <c r="A10" s="11" t="s">
        <v>304</v>
      </c>
      <c r="B10" s="9" t="n">
        <f aca="false">'ENTRADAS PMO'!$C$8</f>
        <v>1540</v>
      </c>
      <c r="C10" s="9" t="n">
        <f aca="false">'ENTRADAS PMO'!$C$9</f>
        <v>1660</v>
      </c>
      <c r="D10" s="8" t="n">
        <f aca="false">'ENTRADAS PMO'!$C$10</f>
        <v>0.754545454545455</v>
      </c>
      <c r="E10" s="10" t="n">
        <f aca="false">'ENTRADAS PMO'!$C$16</f>
        <v>80.2922077922078</v>
      </c>
      <c r="F10" s="7" t="n">
        <f aca="false">'ENTRADAS PMO'!$C$18</f>
        <v>113758</v>
      </c>
      <c r="G10" s="7" t="n">
        <f aca="false">'ENTRADAS PMO'!$C$33</f>
        <v>33880</v>
      </c>
      <c r="H10" s="7" t="n">
        <f aca="false">'ENTRADAS PMO'!$C$24</f>
        <v>47820</v>
      </c>
      <c r="I10" s="7" t="n">
        <f aca="false">'ENTRADAS PMO'!$C$36</f>
        <v>0</v>
      </c>
      <c r="J10" s="44" t="n">
        <f aca="false">SUM(F10:I10)</f>
        <v>195458</v>
      </c>
      <c r="K10" s="7" t="n">
        <f aca="false">'ENTRADAS PMO'!$C$107</f>
        <v>403049.8042</v>
      </c>
      <c r="L10" s="44" t="n">
        <f aca="false">J10-K10</f>
        <v>-207591.8042</v>
      </c>
      <c r="M10" s="27" t="n">
        <f aca="false">IFERROR(L10/J10,0)</f>
        <v>-1.06207883125787</v>
      </c>
      <c r="N10" s="29" t="n">
        <f aca="false">IFERROR(J10/B10,0)</f>
        <v>126.920779220779</v>
      </c>
      <c r="O10" s="29" t="n">
        <f aca="false">IFERROR(K10/B10,0)</f>
        <v>261.720652077922</v>
      </c>
      <c r="P10" s="29" t="n">
        <f aca="false">IFERROR(F10/B10,0)+'ENTRADAS PMO'!$C$30</f>
        <v>95.8688311688312</v>
      </c>
      <c r="Q10" s="26" t="n">
        <f aca="false">IFERROR(K10/P10,0)</f>
        <v>4204.17980782725</v>
      </c>
      <c r="R10" s="26" t="n">
        <f aca="false">MAX(0,IFERROR((K10-H10-I10)/P10,0))</f>
        <v>3705.37326750566</v>
      </c>
      <c r="S10" s="27" t="n">
        <f aca="false">IFERROR(R10/'ENTRADAS PMO'!$C$6,0)</f>
        <v>1.68426057613893</v>
      </c>
      <c r="T10" s="27" t="n">
        <f aca="false">IFERROR((B10-R10)/B10,0)</f>
        <v>-1.40608653734134</v>
      </c>
      <c r="U10" s="7" t="n">
        <f aca="false">'ENTRADAS PMO'!$C$39</f>
        <v>160000</v>
      </c>
      <c r="V10" s="20" t="str">
        <f aca="false">IF(AND(M10&gt;=Cenarios!$B$5,T10&gt;=Cenarios!$B$6),"VERDE",IF(OR(M10&lt;Cenarios!$B$7,T10&lt;0),"VERMELHO","AMARELO"))</f>
        <v>VERMELHO</v>
      </c>
      <c r="W10" s="20" t="str">
        <f aca="false">IF(V10="VERDE","GO",IF(V10="VERMELHO","NO-GO","GO COM RESSALVAS"))</f>
        <v>NO-GO</v>
      </c>
    </row>
    <row r="11" customFormat="false" ht="15" hidden="false" customHeight="false" outlineLevel="0" collapsed="false">
      <c r="A11" s="11" t="s">
        <v>305</v>
      </c>
      <c r="B11" s="9" t="n">
        <f aca="false">'ENTRADAS PMO'!$D$8</f>
        <v>2850</v>
      </c>
      <c r="C11" s="9" t="n">
        <f aca="false">'ENTRADAS PMO'!$D$9</f>
        <v>3000</v>
      </c>
      <c r="D11" s="8" t="n">
        <f aca="false">'ENTRADAS PMO'!$D$10</f>
        <v>1</v>
      </c>
      <c r="E11" s="10" t="n">
        <f aca="false">'ENTRADAS PMO'!$D$16</f>
        <v>106.224561403509</v>
      </c>
      <c r="F11" s="7" t="n">
        <f aca="false">'ENTRADAS PMO'!$D$18</f>
        <v>278520.8</v>
      </c>
      <c r="G11" s="7" t="n">
        <f aca="false">'ENTRADAS PMO'!$D$33</f>
        <v>85505.7</v>
      </c>
      <c r="H11" s="7" t="n">
        <f aca="false">'ENTRADAS PMO'!$D$24</f>
        <v>127000</v>
      </c>
      <c r="I11" s="7" t="n">
        <f aca="false">'ENTRADAS PMO'!$D$36</f>
        <v>0</v>
      </c>
      <c r="J11" s="44" t="n">
        <f aca="false">SUM(F11:I11)</f>
        <v>491026.5</v>
      </c>
      <c r="K11" s="7" t="n">
        <f aca="false">'ENTRADAS PMO'!$D$107</f>
        <v>475795.431</v>
      </c>
      <c r="L11" s="44" t="n">
        <f aca="false">J11-K11</f>
        <v>15231.069</v>
      </c>
      <c r="M11" s="27" t="n">
        <f aca="false">IFERROR(L11/J11,0)</f>
        <v>0.0310188329957752</v>
      </c>
      <c r="N11" s="29" t="n">
        <f aca="false">IFERROR(J11/B11,0)</f>
        <v>172.29</v>
      </c>
      <c r="O11" s="29" t="n">
        <f aca="false">IFERROR(K11/B11,0)</f>
        <v>166.945765263158</v>
      </c>
      <c r="P11" s="29" t="n">
        <f aca="false">IFERROR(F11/B11,0)+'ENTRADAS PMO'!$D$30</f>
        <v>127.728596491228</v>
      </c>
      <c r="Q11" s="26" t="n">
        <f aca="false">IFERROR(K11/P11,0)</f>
        <v>3725.05017725358</v>
      </c>
      <c r="R11" s="26" t="n">
        <f aca="false">MAX(0,IFERROR((K11-H11-I11)/P11,0))</f>
        <v>2730.75443230095</v>
      </c>
      <c r="S11" s="27" t="n">
        <f aca="false">IFERROR(R11/'ENTRADAS PMO'!$D$6,0)</f>
        <v>0.910251477433648</v>
      </c>
      <c r="T11" s="27" t="n">
        <f aca="false">IFERROR((B11-R11)/B11,0)</f>
        <v>0.0418405500698438</v>
      </c>
      <c r="U11" s="7" t="n">
        <f aca="false">'ENTRADAS PMO'!$D$39</f>
        <v>180000</v>
      </c>
      <c r="V11" s="20" t="str">
        <f aca="false">IF(AND(M11&gt;=Cenarios!$B$5,T11&gt;=Cenarios!$B$6),"VERDE",IF(OR(M11&lt;Cenarios!$B$7,T11&lt;0),"VERMELHO","AMARELO"))</f>
        <v>AMARELO</v>
      </c>
      <c r="W11" s="20" t="str">
        <f aca="false">IF(V11="VERDE","GO",IF(V11="VERMELHO","NO-GO","GO COM RESSALVAS"))</f>
        <v>GO COM RESSALVAS</v>
      </c>
    </row>
    <row r="12" customFormat="false" ht="15" hidden="false" customHeight="false" outlineLevel="0" collapsed="false">
      <c r="A12" s="11" t="s">
        <v>306</v>
      </c>
      <c r="B12" s="9" t="n">
        <f aca="false">'ENTRADAS PMO'!$E$8</f>
        <v>3150</v>
      </c>
      <c r="C12" s="9" t="n">
        <f aca="false">'ENTRADAS PMO'!$E$9</f>
        <v>3330</v>
      </c>
      <c r="D12" s="8" t="n">
        <f aca="false">'ENTRADAS PMO'!$E$10</f>
        <v>0.951428571428571</v>
      </c>
      <c r="E12" s="10" t="n">
        <f aca="false">'ENTRADAS PMO'!$E$16</f>
        <v>111.031746031746</v>
      </c>
      <c r="F12" s="7" t="n">
        <f aca="false">'ENTRADAS PMO'!$E$18</f>
        <v>321770</v>
      </c>
      <c r="G12" s="7" t="n">
        <f aca="false">'ENTRADAS PMO'!$E$33</f>
        <v>110250</v>
      </c>
      <c r="H12" s="7" t="n">
        <f aca="false">'ENTRADAS PMO'!$E$24</f>
        <v>257400</v>
      </c>
      <c r="I12" s="7" t="n">
        <f aca="false">'ENTRADAS PMO'!$E$36</f>
        <v>0</v>
      </c>
      <c r="J12" s="44" t="n">
        <f aca="false">SUM(F12:I12)</f>
        <v>689420</v>
      </c>
      <c r="K12" s="7" t="n">
        <f aca="false">'ENTRADAS PMO'!$E$107</f>
        <v>571042.67</v>
      </c>
      <c r="L12" s="44" t="n">
        <f aca="false">J12-K12</f>
        <v>118377.33</v>
      </c>
      <c r="M12" s="27" t="n">
        <f aca="false">IFERROR(L12/J12,0)</f>
        <v>0.171705680136927</v>
      </c>
      <c r="N12" s="29" t="n">
        <f aca="false">IFERROR(J12/B12,0)</f>
        <v>218.863492063492</v>
      </c>
      <c r="O12" s="29" t="n">
        <f aca="false">IFERROR(K12/B12,0)</f>
        <v>181.283387301587</v>
      </c>
      <c r="P12" s="29" t="n">
        <f aca="false">IFERROR(F12/B12,0)+'ENTRADAS PMO'!$E$30</f>
        <v>137.149206349206</v>
      </c>
      <c r="Q12" s="26" t="n">
        <f aca="false">IFERROR(K12/P12,0)</f>
        <v>4163.66004004444</v>
      </c>
      <c r="R12" s="26" t="n">
        <f aca="false">MAX(0,IFERROR((K12-H12-I12)/P12,0))</f>
        <v>2286.87192838295</v>
      </c>
      <c r="S12" s="27" t="n">
        <f aca="false">IFERROR(R12/'ENTRADAS PMO'!$E$6,0)</f>
        <v>0.653391979537985</v>
      </c>
      <c r="T12" s="27" t="n">
        <f aca="false">IFERROR((B12-R12)/B12,0)</f>
        <v>0.274008911624462</v>
      </c>
      <c r="U12" s="7" t="n">
        <f aca="false">'ENTRADAS PMO'!$E$39</f>
        <v>200000</v>
      </c>
      <c r="V12" s="20" t="str">
        <f aca="false">IF(AND(M12&gt;=Cenarios!$B$5,T12&gt;=Cenarios!$B$6),"VERDE",IF(OR(M12&lt;Cenarios!$B$7,T12&lt;0),"VERMELHO","AMARELO"))</f>
        <v>VERDE</v>
      </c>
      <c r="W12" s="20" t="str">
        <f aca="false">IF(V12="VERDE","GO",IF(V12="VERMELHO","NO-GO","GO COM RESSALVAS"))</f>
        <v>GO</v>
      </c>
    </row>
  </sheetData>
  <sheetProtection sheet="true" formatCells="false" formatColumns="false" formatRows="false" sort="false" autoFilter="false"/>
  <conditionalFormatting sqref="V10:V12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"AMARELO"</formula>
    </cfRule>
    <cfRule type="cellIs" priority="4" operator="equal" aboveAverage="0" equalAverage="0" bottom="0" percent="0" rank="0" text="" dxfId="2">
      <formula>"VERMELHO"</formula>
    </cfRule>
  </conditionalFormatting>
  <conditionalFormatting sqref="W10:W12"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1">
      <formula>"GO COM RESSALVAS"</formula>
    </cfRule>
    <cfRule type="cellIs" priority="7" operator="equal" aboveAverage="0" equalAverage="0" bottom="0" percent="0" rank="0" text="" dxfId="2">
      <formula>"NO-GO"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8"/>
  </cols>
  <sheetData>
    <row r="1" customFormat="false" ht="18.55" hidden="false" customHeight="false" outlineLevel="0" collapsed="false">
      <c r="A1" s="21" t="s">
        <v>307</v>
      </c>
    </row>
    <row r="2" customFormat="false" ht="15" hidden="false" customHeight="false" outlineLevel="0" collapsed="false">
      <c r="A2" s="2" t="s">
        <v>308</v>
      </c>
    </row>
    <row r="4" customFormat="false" ht="23.85" hidden="false" customHeight="false" outlineLevel="0" collapsed="false">
      <c r="A4" s="22" t="s">
        <v>309</v>
      </c>
      <c r="B4" s="22" t="s">
        <v>240</v>
      </c>
      <c r="C4" s="22" t="s">
        <v>310</v>
      </c>
      <c r="D4" s="22" t="s">
        <v>242</v>
      </c>
      <c r="E4" s="22" t="s">
        <v>311</v>
      </c>
      <c r="F4" s="22" t="s">
        <v>312</v>
      </c>
      <c r="G4" s="22" t="s">
        <v>313</v>
      </c>
      <c r="H4" s="22" t="s">
        <v>314</v>
      </c>
      <c r="I4" s="22" t="s">
        <v>315</v>
      </c>
      <c r="J4" s="22" t="s">
        <v>316</v>
      </c>
    </row>
    <row r="5" customFormat="false" ht="15" hidden="false" customHeight="false" outlineLevel="0" collapsed="false">
      <c r="A5" s="11" t="s">
        <v>251</v>
      </c>
      <c r="B5" s="7" t="n">
        <f aca="false">SUMIF(CUSTOS!$A$5:$A$48,$A5,CUSTOS!$E$5:$E$48)</f>
        <v>205000</v>
      </c>
      <c r="C5" s="7" t="n">
        <f aca="false">SUMIF(CUSTOS!$A$5:$A$48,$A5,CUSTOS!$F$5:$F$48)</f>
        <v>205000</v>
      </c>
      <c r="D5" s="7" t="n">
        <f aca="false">SUMIF(CUSTOS!$A$5:$A$48,$A5,CUSTOS!$G$5:$G$48)</f>
        <v>0</v>
      </c>
      <c r="E5" s="7" t="n">
        <f aca="false">SUMIF(CUSTOS!$A$5:$A$48,$A5,CUSTOS!$H$5:$H$48)</f>
        <v>0</v>
      </c>
      <c r="F5" s="18" t="n">
        <f aca="false">C5-E5</f>
        <v>205000</v>
      </c>
      <c r="G5" s="18" t="n">
        <f aca="false">I5-C5</f>
        <v>0</v>
      </c>
      <c r="H5" s="27" t="n">
        <f aca="false">IFERROR(G5/C5,0)</f>
        <v>0</v>
      </c>
      <c r="I5" s="7" t="n">
        <f aca="false">SUMIF(CUSTOS!$A$5:$A$48,$A5,CUSTOS!$O$5:$O$48)</f>
        <v>205000</v>
      </c>
      <c r="J5" s="20" t="str">
        <f aca="false">IF(H5&lt;=0,"Dentro do orçamento",IF(H5&lt;=0.05,"Atenção","Estourado"))</f>
        <v>Dentro do orçamento</v>
      </c>
    </row>
    <row r="6" customFormat="false" ht="15" hidden="false" customHeight="false" outlineLevel="0" collapsed="false">
      <c r="A6" s="11" t="s">
        <v>256</v>
      </c>
      <c r="B6" s="7" t="n">
        <f aca="false">SUMIF(CUSTOS!$A$5:$A$48,$A6,CUSTOS!$E$5:$E$48)</f>
        <v>90000</v>
      </c>
      <c r="C6" s="7" t="n">
        <f aca="false">SUMIF(CUSTOS!$A$5:$A$48,$A6,CUSTOS!$F$5:$F$48)</f>
        <v>90000</v>
      </c>
      <c r="D6" s="7" t="n">
        <f aca="false">SUMIF(CUSTOS!$A$5:$A$48,$A6,CUSTOS!$G$5:$G$48)</f>
        <v>0</v>
      </c>
      <c r="E6" s="7" t="n">
        <f aca="false">SUMIF(CUSTOS!$A$5:$A$48,$A6,CUSTOS!$H$5:$H$48)</f>
        <v>0</v>
      </c>
      <c r="F6" s="18" t="n">
        <f aca="false">C6-E6</f>
        <v>90000</v>
      </c>
      <c r="G6" s="18" t="n">
        <f aca="false">I6-C6</f>
        <v>0</v>
      </c>
      <c r="H6" s="27" t="n">
        <f aca="false">IFERROR(G6/C6,0)</f>
        <v>0</v>
      </c>
      <c r="I6" s="7" t="n">
        <f aca="false">SUMIF(CUSTOS!$A$5:$A$48,$A6,CUSTOS!$O$5:$O$48)</f>
        <v>90000</v>
      </c>
      <c r="J6" s="20" t="str">
        <f aca="false">IF(H6&lt;=0,"Dentro do orçamento",IF(H6&lt;=0.05,"Atenção","Estourado"))</f>
        <v>Dentro do orçamento</v>
      </c>
    </row>
    <row r="7" customFormat="false" ht="15" hidden="false" customHeight="false" outlineLevel="0" collapsed="false">
      <c r="A7" s="11" t="s">
        <v>258</v>
      </c>
      <c r="B7" s="7" t="n">
        <f aca="false">SUMIF(CUSTOS!$A$5:$A$48,$A7,CUSTOS!$E$5:$E$48)</f>
        <v>23000</v>
      </c>
      <c r="C7" s="7" t="n">
        <f aca="false">SUMIF(CUSTOS!$A$5:$A$48,$A7,CUSTOS!$F$5:$F$48)</f>
        <v>23000</v>
      </c>
      <c r="D7" s="7" t="n">
        <f aca="false">SUMIF(CUSTOS!$A$5:$A$48,$A7,CUSTOS!$G$5:$G$48)</f>
        <v>0</v>
      </c>
      <c r="E7" s="7" t="n">
        <f aca="false">SUMIF(CUSTOS!$A$5:$A$48,$A7,CUSTOS!$H$5:$H$48)</f>
        <v>0</v>
      </c>
      <c r="F7" s="18" t="n">
        <f aca="false">C7-E7</f>
        <v>23000</v>
      </c>
      <c r="G7" s="18" t="n">
        <f aca="false">I7-C7</f>
        <v>0</v>
      </c>
      <c r="H7" s="27" t="n">
        <f aca="false">IFERROR(G7/C7,0)</f>
        <v>0</v>
      </c>
      <c r="I7" s="7" t="n">
        <f aca="false">SUMIF(CUSTOS!$A$5:$A$48,$A7,CUSTOS!$O$5:$O$48)</f>
        <v>23000</v>
      </c>
      <c r="J7" s="20" t="str">
        <f aca="false">IF(H7&lt;=0,"Dentro do orçamento",IF(H7&lt;=0.05,"Atenção","Estourado"))</f>
        <v>Dentro do orçamento</v>
      </c>
    </row>
    <row r="8" customFormat="false" ht="15" hidden="false" customHeight="false" outlineLevel="0" collapsed="false">
      <c r="A8" s="11" t="s">
        <v>128</v>
      </c>
      <c r="B8" s="7" t="n">
        <f aca="false">SUMIF(CUSTOS!$A$5:$A$48,$A8,CUSTOS!$E$5:$E$48)</f>
        <v>22500</v>
      </c>
      <c r="C8" s="7" t="n">
        <f aca="false">SUMIF(CUSTOS!$A$5:$A$48,$A8,CUSTOS!$F$5:$F$48)</f>
        <v>22500</v>
      </c>
      <c r="D8" s="7" t="n">
        <f aca="false">SUMIF(CUSTOS!$A$5:$A$48,$A8,CUSTOS!$G$5:$G$48)</f>
        <v>0</v>
      </c>
      <c r="E8" s="7" t="n">
        <f aca="false">SUMIF(CUSTOS!$A$5:$A$48,$A8,CUSTOS!$H$5:$H$48)</f>
        <v>0</v>
      </c>
      <c r="F8" s="18" t="n">
        <f aca="false">C8-E8</f>
        <v>22500</v>
      </c>
      <c r="G8" s="18" t="n">
        <f aca="false">I8-C8</f>
        <v>0</v>
      </c>
      <c r="H8" s="27" t="n">
        <f aca="false">IFERROR(G8/C8,0)</f>
        <v>0</v>
      </c>
      <c r="I8" s="7" t="n">
        <f aca="false">SUMIF(CUSTOS!$A$5:$A$48,$A8,CUSTOS!$O$5:$O$48)</f>
        <v>22500</v>
      </c>
      <c r="J8" s="20" t="str">
        <f aca="false">IF(H8&lt;=0,"Dentro do orçamento",IF(H8&lt;=0.05,"Atenção","Estourado"))</f>
        <v>Dentro do orçamento</v>
      </c>
    </row>
    <row r="9" customFormat="false" ht="15" hidden="false" customHeight="false" outlineLevel="0" collapsed="false">
      <c r="A9" s="11" t="s">
        <v>260</v>
      </c>
      <c r="B9" s="7" t="n">
        <f aca="false">SUMIF(CUSTOS!$A$5:$A$48,$A9,CUSTOS!$E$5:$E$48)</f>
        <v>35000</v>
      </c>
      <c r="C9" s="7" t="n">
        <f aca="false">SUMIF(CUSTOS!$A$5:$A$48,$A9,CUSTOS!$F$5:$F$48)</f>
        <v>35000</v>
      </c>
      <c r="D9" s="7" t="n">
        <f aca="false">SUMIF(CUSTOS!$A$5:$A$48,$A9,CUSTOS!$G$5:$G$48)</f>
        <v>0</v>
      </c>
      <c r="E9" s="7" t="n">
        <f aca="false">SUMIF(CUSTOS!$A$5:$A$48,$A9,CUSTOS!$H$5:$H$48)</f>
        <v>0</v>
      </c>
      <c r="F9" s="18" t="n">
        <f aca="false">C9-E9</f>
        <v>35000</v>
      </c>
      <c r="G9" s="18" t="n">
        <f aca="false">I9-C9</f>
        <v>0</v>
      </c>
      <c r="H9" s="27" t="n">
        <f aca="false">IFERROR(G9/C9,0)</f>
        <v>0</v>
      </c>
      <c r="I9" s="7" t="n">
        <f aca="false">SUMIF(CUSTOS!$A$5:$A$48,$A9,CUSTOS!$O$5:$O$48)</f>
        <v>35000</v>
      </c>
      <c r="J9" s="20" t="str">
        <f aca="false">IF(H9&lt;=0,"Dentro do orçamento",IF(H9&lt;=0.05,"Atenção","Estourado"))</f>
        <v>Dentro do orçamento</v>
      </c>
    </row>
    <row r="10" customFormat="false" ht="15" hidden="false" customHeight="false" outlineLevel="0" collapsed="false">
      <c r="A10" s="11" t="s">
        <v>261</v>
      </c>
      <c r="B10" s="7" t="n">
        <f aca="false">SUMIF(CUSTOS!$A$5:$A$48,$A10,CUSTOS!$E$5:$E$48)</f>
        <v>30000</v>
      </c>
      <c r="C10" s="7" t="n">
        <f aca="false">SUMIF(CUSTOS!$A$5:$A$48,$A10,CUSTOS!$F$5:$F$48)</f>
        <v>30000</v>
      </c>
      <c r="D10" s="7" t="n">
        <f aca="false">SUMIF(CUSTOS!$A$5:$A$48,$A10,CUSTOS!$G$5:$G$48)</f>
        <v>0</v>
      </c>
      <c r="E10" s="7" t="n">
        <f aca="false">SUMIF(CUSTOS!$A$5:$A$48,$A10,CUSTOS!$H$5:$H$48)</f>
        <v>0</v>
      </c>
      <c r="F10" s="18" t="n">
        <f aca="false">C10-E10</f>
        <v>30000</v>
      </c>
      <c r="G10" s="18" t="n">
        <f aca="false">I10-C10</f>
        <v>0</v>
      </c>
      <c r="H10" s="27" t="n">
        <f aca="false">IFERROR(G10/C10,0)</f>
        <v>0</v>
      </c>
      <c r="I10" s="7" t="n">
        <f aca="false">SUMIF(CUSTOS!$A$5:$A$48,$A10,CUSTOS!$O$5:$O$48)</f>
        <v>30000</v>
      </c>
      <c r="J10" s="20" t="str">
        <f aca="false">IF(H10&lt;=0,"Dentro do orçamento",IF(H10&lt;=0.05,"Atenção","Estourado"))</f>
        <v>Dentro do orçamento</v>
      </c>
    </row>
    <row r="11" customFormat="false" ht="15" hidden="false" customHeight="false" outlineLevel="0" collapsed="false">
      <c r="A11" s="11" t="s">
        <v>259</v>
      </c>
      <c r="B11" s="7" t="n">
        <f aca="false">SUMIF(CUSTOS!$A$5:$A$48,$A11,CUSTOS!$E$5:$E$48)</f>
        <v>4500</v>
      </c>
      <c r="C11" s="7" t="n">
        <f aca="false">SUMIF(CUSTOS!$A$5:$A$48,$A11,CUSTOS!$F$5:$F$48)</f>
        <v>4500</v>
      </c>
      <c r="D11" s="7" t="n">
        <f aca="false">SUMIF(CUSTOS!$A$5:$A$48,$A11,CUSTOS!$G$5:$G$48)</f>
        <v>0</v>
      </c>
      <c r="E11" s="7" t="n">
        <f aca="false">SUMIF(CUSTOS!$A$5:$A$48,$A11,CUSTOS!$H$5:$H$48)</f>
        <v>0</v>
      </c>
      <c r="F11" s="18" t="n">
        <f aca="false">C11-E11</f>
        <v>4500</v>
      </c>
      <c r="G11" s="18" t="n">
        <f aca="false">I11-C11</f>
        <v>0</v>
      </c>
      <c r="H11" s="27" t="n">
        <f aca="false">IFERROR(G11/C11,0)</f>
        <v>0</v>
      </c>
      <c r="I11" s="7" t="n">
        <f aca="false">SUMIF(CUSTOS!$A$5:$A$48,$A11,CUSTOS!$O$5:$O$48)</f>
        <v>4500</v>
      </c>
      <c r="J11" s="20" t="str">
        <f aca="false">IF(H11&lt;=0,"Dentro do orçamento",IF(H11&lt;=0.05,"Atenção","Estourado"))</f>
        <v>Dentro do orçamento</v>
      </c>
    </row>
    <row r="12" customFormat="false" ht="15" hidden="false" customHeight="false" outlineLevel="0" collapsed="false">
      <c r="A12" s="11" t="s">
        <v>262</v>
      </c>
      <c r="B12" s="7" t="n">
        <f aca="false">SUMIF(CUSTOS!$A$5:$A$48,$A12,CUSTOS!$E$5:$E$48)</f>
        <v>30551.325</v>
      </c>
      <c r="C12" s="7" t="n">
        <f aca="false">SUMIF(CUSTOS!$A$5:$A$48,$A12,CUSTOS!$F$5:$F$48)</f>
        <v>30551.325</v>
      </c>
      <c r="D12" s="7" t="n">
        <f aca="false">SUMIF(CUSTOS!$A$5:$A$48,$A12,CUSTOS!$G$5:$G$48)</f>
        <v>0</v>
      </c>
      <c r="E12" s="7" t="n">
        <f aca="false">SUMIF(CUSTOS!$A$5:$A$48,$A12,CUSTOS!$H$5:$H$48)</f>
        <v>0</v>
      </c>
      <c r="F12" s="18" t="n">
        <f aca="false">C12-E12</f>
        <v>30551.325</v>
      </c>
      <c r="G12" s="18" t="n">
        <f aca="false">I12-C12</f>
        <v>0</v>
      </c>
      <c r="H12" s="27" t="n">
        <f aca="false">IFERROR(G12/C12,0)</f>
        <v>0</v>
      </c>
      <c r="I12" s="7" t="n">
        <f aca="false">SUMIF(CUSTOS!$A$5:$A$48,$A12,CUSTOS!$O$5:$O$48)</f>
        <v>30551.325</v>
      </c>
      <c r="J12" s="20" t="str">
        <f aca="false">IF(H12&lt;=0,"Dentro do orçamento",IF(H12&lt;=0.05,"Atenção","Estourado"))</f>
        <v>Dentro do orçamento</v>
      </c>
    </row>
    <row r="13" customFormat="false" ht="15" hidden="false" customHeight="false" outlineLevel="0" collapsed="false">
      <c r="A13" s="11" t="s">
        <v>265</v>
      </c>
      <c r="B13" s="7" t="n">
        <f aca="false">SUMIF(CUSTOS!$A$5:$A$48,$A13,CUSTOS!$E$5:$E$48)</f>
        <v>0</v>
      </c>
      <c r="C13" s="7" t="n">
        <f aca="false">SUMIF(CUSTOS!$A$5:$A$48,$A13,CUSTOS!$F$5:$F$48)</f>
        <v>0</v>
      </c>
      <c r="D13" s="7" t="n">
        <f aca="false">SUMIF(CUSTOS!$A$5:$A$48,$A13,CUSTOS!$G$5:$G$48)</f>
        <v>0</v>
      </c>
      <c r="E13" s="7" t="n">
        <f aca="false">SUMIF(CUSTOS!$A$5:$A$48,$A13,CUSTOS!$H$5:$H$48)</f>
        <v>0</v>
      </c>
      <c r="F13" s="18" t="n">
        <f aca="false">C13-E13</f>
        <v>0</v>
      </c>
      <c r="G13" s="18" t="n">
        <f aca="false">I13-C13</f>
        <v>0</v>
      </c>
      <c r="H13" s="27" t="n">
        <f aca="false">IFERROR(G13/C13,0)</f>
        <v>0</v>
      </c>
      <c r="I13" s="7" t="n">
        <f aca="false">SUMIF(CUSTOS!$A$5:$A$48,$A13,CUSTOS!$O$5:$O$48)</f>
        <v>0</v>
      </c>
      <c r="J13" s="20" t="str">
        <f aca="false">IF(H13&lt;=0,"Dentro do orçamento",IF(H13&lt;=0.05,"Atenção","Estourado"))</f>
        <v>Dentro do orçamento</v>
      </c>
    </row>
    <row r="14" customFormat="false" ht="15" hidden="false" customHeight="false" outlineLevel="0" collapsed="false">
      <c r="A14" s="11" t="s">
        <v>317</v>
      </c>
      <c r="B14" s="44" t="n">
        <f aca="false">SUM(B5:B13)</f>
        <v>440551.325</v>
      </c>
      <c r="C14" s="44" t="n">
        <f aca="false">SUM(C5:C13)</f>
        <v>440551.325</v>
      </c>
      <c r="D14" s="44" t="n">
        <f aca="false">SUM(D5:D13)</f>
        <v>0</v>
      </c>
      <c r="E14" s="44" t="n">
        <f aca="false">SUM(E5:E13)</f>
        <v>0</v>
      </c>
      <c r="F14" s="44" t="n">
        <f aca="false">SUM(F5:F13)</f>
        <v>440551.325</v>
      </c>
      <c r="G14" s="44" t="n">
        <f aca="false">SUM(G5:G13)</f>
        <v>0</v>
      </c>
      <c r="H14" s="45" t="n">
        <f aca="false">IFERROR(G14/C14,0)</f>
        <v>0</v>
      </c>
      <c r="I14" s="44" t="n">
        <f aca="false">SUM(I5:I13)</f>
        <v>440551.325</v>
      </c>
    </row>
  </sheetData>
  <sheetProtection sheet="true" formatCells="false" formatColumns="false" formatRows="false" sort="false" autoFilter="false"/>
  <conditionalFormatting sqref="J5:J13">
    <cfRule type="cellIs" priority="2" operator="equal" aboveAverage="0" equalAverage="0" bottom="0" percent="0" rank="0" text="" dxfId="0">
      <formula>"Dentro do orçamento"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2">
      <formula>"Estourado"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8.55" hidden="false" customHeight="false" outlineLevel="0" collapsed="false">
      <c r="A1" s="21" t="s">
        <v>318</v>
      </c>
    </row>
    <row r="2" customFormat="false" ht="15" hidden="false" customHeight="false" outlineLevel="0" collapsed="false">
      <c r="A2" s="2" t="s">
        <v>319</v>
      </c>
    </row>
    <row r="4" customFormat="false" ht="15" hidden="false" customHeight="false" outlineLevel="0" collapsed="false">
      <c r="A4" s="11" t="s">
        <v>320</v>
      </c>
      <c r="B4" s="42" t="s">
        <v>305</v>
      </c>
    </row>
    <row r="5" customFormat="false" ht="15" hidden="false" customHeight="false" outlineLevel="0" collapsed="false">
      <c r="A5" s="11" t="s">
        <v>321</v>
      </c>
      <c r="B5" s="31" t="n">
        <v>0</v>
      </c>
    </row>
    <row r="6" customFormat="false" ht="15" hidden="false" customHeight="false" outlineLevel="0" collapsed="false">
      <c r="A6" s="6" t="s">
        <v>322</v>
      </c>
      <c r="B6" s="20" t="str">
        <f aca="false">IF('FLUXO DE CAIXA'!$B$4="Conservador","C",IF('FLUXO DE CAIXA'!$B$4="Base","D","E"))</f>
        <v>D</v>
      </c>
    </row>
    <row r="8" customFormat="false" ht="15" hidden="false" customHeight="false" outlineLevel="0" collapsed="false">
      <c r="A8" s="22" t="s">
        <v>323</v>
      </c>
      <c r="B8" s="22" t="s">
        <v>324</v>
      </c>
      <c r="C8" s="22" t="s">
        <v>325</v>
      </c>
      <c r="D8" s="22" t="s">
        <v>326</v>
      </c>
      <c r="E8" s="22" t="s">
        <v>327</v>
      </c>
      <c r="F8" s="22" t="s">
        <v>328</v>
      </c>
      <c r="G8" s="22" t="s">
        <v>329</v>
      </c>
      <c r="H8" s="22" t="s">
        <v>330</v>
      </c>
      <c r="I8" s="22" t="s">
        <v>331</v>
      </c>
      <c r="J8" s="22" t="s">
        <v>332</v>
      </c>
      <c r="K8" s="22" t="s">
        <v>333</v>
      </c>
      <c r="L8" s="22" t="s">
        <v>334</v>
      </c>
      <c r="M8" s="22" t="s">
        <v>335</v>
      </c>
      <c r="N8" s="22" t="s">
        <v>336</v>
      </c>
    </row>
    <row r="9" customFormat="false" ht="15" hidden="false" customHeight="false" outlineLevel="0" collapsed="false">
      <c r="A9" s="13" t="s">
        <v>337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15" hidden="false" customHeight="false" outlineLevel="0" collapsed="false">
      <c r="A10" s="6" t="s">
        <v>338</v>
      </c>
      <c r="B10" s="46" t="n">
        <v>0</v>
      </c>
      <c r="C10" s="46" t="n">
        <v>0.05</v>
      </c>
      <c r="D10" s="46" t="n">
        <v>0.1</v>
      </c>
      <c r="E10" s="46" t="n">
        <v>0.1</v>
      </c>
      <c r="F10" s="46" t="n">
        <v>0.1</v>
      </c>
      <c r="G10" s="46" t="n">
        <v>0.05</v>
      </c>
      <c r="H10" s="46" t="n">
        <v>0.05</v>
      </c>
      <c r="I10" s="46" t="n">
        <v>0.05</v>
      </c>
      <c r="J10" s="46" t="n">
        <v>0.1</v>
      </c>
      <c r="K10" s="46" t="n">
        <v>0.15</v>
      </c>
      <c r="L10" s="46" t="n">
        <v>0.15</v>
      </c>
      <c r="M10" s="46" t="n">
        <v>0.1</v>
      </c>
      <c r="N10" s="47" t="n">
        <f aca="false">SUM(B10:M10)</f>
        <v>1</v>
      </c>
    </row>
    <row r="11" customFormat="false" ht="15" hidden="false" customHeight="false" outlineLevel="0" collapsed="false">
      <c r="A11" s="6" t="s">
        <v>339</v>
      </c>
      <c r="B11" s="46" t="n">
        <v>0.05</v>
      </c>
      <c r="C11" s="46" t="n">
        <v>0.1</v>
      </c>
      <c r="D11" s="46" t="n">
        <v>0.15</v>
      </c>
      <c r="E11" s="46" t="n">
        <v>0.15</v>
      </c>
      <c r="F11" s="46" t="n">
        <v>0.1</v>
      </c>
      <c r="G11" s="46" t="n">
        <v>0.05</v>
      </c>
      <c r="H11" s="46" t="n">
        <v>0.05</v>
      </c>
      <c r="I11" s="46" t="n">
        <v>0.05</v>
      </c>
      <c r="J11" s="46" t="n">
        <v>0.1</v>
      </c>
      <c r="K11" s="46" t="n">
        <v>0.1</v>
      </c>
      <c r="L11" s="46" t="n">
        <v>0.05</v>
      </c>
      <c r="M11" s="46" t="n">
        <v>0.05</v>
      </c>
      <c r="N11" s="47" t="n">
        <f aca="false">SUM(B11:M11)</f>
        <v>1</v>
      </c>
    </row>
    <row r="12" customFormat="false" ht="15" hidden="false" customHeight="false" outlineLevel="0" collapsed="false">
      <c r="A12" s="6" t="s">
        <v>340</v>
      </c>
      <c r="B12" s="46" t="n">
        <v>0</v>
      </c>
      <c r="C12" s="46" t="n">
        <v>0</v>
      </c>
      <c r="D12" s="46" t="n">
        <v>0</v>
      </c>
      <c r="E12" s="46" t="n">
        <v>0</v>
      </c>
      <c r="F12" s="46" t="n">
        <v>0</v>
      </c>
      <c r="G12" s="46" t="n">
        <v>0</v>
      </c>
      <c r="H12" s="46" t="n">
        <v>0</v>
      </c>
      <c r="I12" s="46" t="n">
        <v>0</v>
      </c>
      <c r="J12" s="46" t="n">
        <v>0</v>
      </c>
      <c r="K12" s="46" t="n">
        <v>0</v>
      </c>
      <c r="L12" s="46" t="n">
        <v>0</v>
      </c>
      <c r="M12" s="46" t="n">
        <v>1</v>
      </c>
      <c r="N12" s="47" t="n">
        <f aca="false">SUM(B12:M12)</f>
        <v>1</v>
      </c>
    </row>
    <row r="13" customFormat="false" ht="15" hidden="false" customHeight="false" outlineLevel="0" collapsed="false">
      <c r="A13" s="6" t="s">
        <v>290</v>
      </c>
      <c r="B13" s="46" t="n">
        <v>0</v>
      </c>
      <c r="C13" s="46" t="n">
        <v>0</v>
      </c>
      <c r="D13" s="46" t="n">
        <v>0</v>
      </c>
      <c r="E13" s="46" t="n">
        <v>0</v>
      </c>
      <c r="F13" s="46" t="n">
        <v>0</v>
      </c>
      <c r="G13" s="46" t="n">
        <v>0</v>
      </c>
      <c r="H13" s="46" t="n">
        <v>0</v>
      </c>
      <c r="I13" s="46" t="n">
        <v>0</v>
      </c>
      <c r="J13" s="46" t="n">
        <v>0</v>
      </c>
      <c r="K13" s="46" t="n">
        <v>0</v>
      </c>
      <c r="L13" s="46" t="n">
        <v>0.5</v>
      </c>
      <c r="M13" s="46" t="n">
        <v>0.5</v>
      </c>
      <c r="N13" s="47" t="n">
        <f aca="false">SUM(B13:M13)</f>
        <v>1</v>
      </c>
    </row>
    <row r="14" customFormat="false" ht="15" hidden="false" customHeight="false" outlineLevel="0" collapsed="false">
      <c r="A14" s="11" t="s">
        <v>341</v>
      </c>
      <c r="B14" s="18" t="n">
        <f aca="false">SUM(B28:B31)</f>
        <v>6350</v>
      </c>
      <c r="C14" s="18" t="n">
        <f aca="false">SUM(C28:C31)</f>
        <v>26626.04</v>
      </c>
      <c r="D14" s="18" t="n">
        <f aca="false">SUM(D28:D31)</f>
        <v>46902.08</v>
      </c>
      <c r="E14" s="18" t="n">
        <f aca="false">SUM(E28:E31)</f>
        <v>46902.08</v>
      </c>
      <c r="F14" s="18" t="n">
        <f aca="false">SUM(F28:F31)</f>
        <v>40552.08</v>
      </c>
      <c r="G14" s="18" t="n">
        <f aca="false">SUM(G28:G31)</f>
        <v>20276.04</v>
      </c>
      <c r="H14" s="18" t="n">
        <f aca="false">SUM(H28:H31)</f>
        <v>20276.04</v>
      </c>
      <c r="I14" s="18" t="n">
        <f aca="false">SUM(I28:I31)</f>
        <v>20276.04</v>
      </c>
      <c r="J14" s="18" t="n">
        <f aca="false">SUM(J28:J31)</f>
        <v>40552.08</v>
      </c>
      <c r="K14" s="18" t="n">
        <f aca="false">SUM(K28:K31)</f>
        <v>54478.12</v>
      </c>
      <c r="L14" s="18" t="n">
        <f aca="false">SUM(L28:L31)</f>
        <v>48128.12</v>
      </c>
      <c r="M14" s="18" t="n">
        <f aca="false">SUM(M28:M31)</f>
        <v>119707.78</v>
      </c>
      <c r="N14" s="44" t="n">
        <f aca="false">SUM(B14:M14)</f>
        <v>491026.5</v>
      </c>
    </row>
    <row r="16" customFormat="false" ht="15" hidden="false" customHeight="false" outlineLevel="0" collapsed="false">
      <c r="A16" s="13" t="s">
        <v>342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customFormat="false" ht="15" hidden="false" customHeight="false" outlineLevel="0" collapsed="false">
      <c r="A17" s="6" t="s">
        <v>343</v>
      </c>
      <c r="B17" s="46" t="n">
        <v>0</v>
      </c>
      <c r="C17" s="46" t="n">
        <v>0.2</v>
      </c>
      <c r="D17" s="46" t="n">
        <v>0</v>
      </c>
      <c r="E17" s="46" t="n">
        <v>0</v>
      </c>
      <c r="F17" s="46" t="n">
        <v>0</v>
      </c>
      <c r="G17" s="46" t="n">
        <v>0</v>
      </c>
      <c r="H17" s="46" t="n">
        <v>0</v>
      </c>
      <c r="I17" s="46" t="n">
        <v>0</v>
      </c>
      <c r="J17" s="46" t="n">
        <v>0</v>
      </c>
      <c r="K17" s="46" t="n">
        <v>0</v>
      </c>
      <c r="L17" s="46" t="n">
        <v>0.3</v>
      </c>
      <c r="M17" s="46" t="n">
        <v>0.5</v>
      </c>
      <c r="N17" s="47" t="n">
        <f aca="false">SUM(B17:M17)</f>
        <v>1</v>
      </c>
    </row>
    <row r="18" customFormat="false" ht="15" hidden="false" customHeight="false" outlineLevel="0" collapsed="false">
      <c r="A18" s="6" t="s">
        <v>256</v>
      </c>
      <c r="B18" s="46" t="n">
        <v>0</v>
      </c>
      <c r="C18" s="46" t="n">
        <v>0</v>
      </c>
      <c r="D18" s="46" t="n">
        <v>0</v>
      </c>
      <c r="E18" s="46" t="n">
        <v>0</v>
      </c>
      <c r="F18" s="46" t="n">
        <v>0</v>
      </c>
      <c r="G18" s="46" t="n">
        <v>0</v>
      </c>
      <c r="H18" s="46" t="n">
        <v>0</v>
      </c>
      <c r="I18" s="46" t="n">
        <v>0</v>
      </c>
      <c r="J18" s="46" t="n">
        <v>0.1</v>
      </c>
      <c r="K18" s="46" t="n">
        <v>0.2</v>
      </c>
      <c r="L18" s="46" t="n">
        <v>0.3</v>
      </c>
      <c r="M18" s="46" t="n">
        <v>0.4</v>
      </c>
      <c r="N18" s="47" t="n">
        <f aca="false">SUM(B18:M18)</f>
        <v>1</v>
      </c>
    </row>
    <row r="19" customFormat="false" ht="15" hidden="false" customHeight="false" outlineLevel="0" collapsed="false">
      <c r="A19" s="6" t="s">
        <v>344</v>
      </c>
      <c r="B19" s="46" t="n">
        <v>0</v>
      </c>
      <c r="C19" s="46" t="n">
        <v>0</v>
      </c>
      <c r="D19" s="46" t="n">
        <v>0</v>
      </c>
      <c r="E19" s="46" t="n">
        <v>0</v>
      </c>
      <c r="F19" s="46" t="n">
        <v>0</v>
      </c>
      <c r="G19" s="46" t="n">
        <v>0</v>
      </c>
      <c r="H19" s="46" t="n">
        <v>0</v>
      </c>
      <c r="I19" s="46" t="n">
        <v>0</v>
      </c>
      <c r="J19" s="46" t="n">
        <v>0.05</v>
      </c>
      <c r="K19" s="46" t="n">
        <v>0.15</v>
      </c>
      <c r="L19" s="46" t="n">
        <v>0.3</v>
      </c>
      <c r="M19" s="46" t="n">
        <v>0.5</v>
      </c>
      <c r="N19" s="47" t="n">
        <f aca="false">SUM(B19:M19)</f>
        <v>1</v>
      </c>
    </row>
    <row r="20" customFormat="false" ht="15" hidden="false" customHeight="false" outlineLevel="0" collapsed="false">
      <c r="A20" s="6" t="s">
        <v>260</v>
      </c>
      <c r="B20" s="46" t="n">
        <v>0.05</v>
      </c>
      <c r="C20" s="46" t="n">
        <v>0.05</v>
      </c>
      <c r="D20" s="46" t="n">
        <v>0.05</v>
      </c>
      <c r="E20" s="46" t="n">
        <v>0.05</v>
      </c>
      <c r="F20" s="46" t="n">
        <v>0.1</v>
      </c>
      <c r="G20" s="46" t="n">
        <v>0.1</v>
      </c>
      <c r="H20" s="46" t="n">
        <v>0.1</v>
      </c>
      <c r="I20" s="46" t="n">
        <v>0.1</v>
      </c>
      <c r="J20" s="46" t="n">
        <v>0.1</v>
      </c>
      <c r="K20" s="46" t="n">
        <v>0.1</v>
      </c>
      <c r="L20" s="46" t="n">
        <v>0.1</v>
      </c>
      <c r="M20" s="46" t="n">
        <v>0.1</v>
      </c>
      <c r="N20" s="47" t="n">
        <f aca="false">SUM(B20:M20)</f>
        <v>1</v>
      </c>
    </row>
    <row r="21" customFormat="false" ht="15" hidden="false" customHeight="false" outlineLevel="0" collapsed="false">
      <c r="A21" s="6" t="s">
        <v>261</v>
      </c>
      <c r="B21" s="46" t="n">
        <v>0</v>
      </c>
      <c r="C21" s="46" t="n">
        <v>0</v>
      </c>
      <c r="D21" s="46" t="n">
        <v>0</v>
      </c>
      <c r="E21" s="46" t="n">
        <v>0</v>
      </c>
      <c r="F21" s="46" t="n">
        <v>0</v>
      </c>
      <c r="G21" s="46" t="n">
        <v>0</v>
      </c>
      <c r="H21" s="46" t="n">
        <v>0</v>
      </c>
      <c r="I21" s="46" t="n">
        <v>0</v>
      </c>
      <c r="J21" s="46" t="n">
        <v>0.1</v>
      </c>
      <c r="K21" s="46" t="n">
        <v>0.2</v>
      </c>
      <c r="L21" s="46" t="n">
        <v>0.3</v>
      </c>
      <c r="M21" s="46" t="n">
        <v>0.4</v>
      </c>
      <c r="N21" s="47" t="n">
        <f aca="false">SUM(B21:M21)</f>
        <v>1</v>
      </c>
    </row>
    <row r="22" customFormat="false" ht="15" hidden="false" customHeight="false" outlineLevel="0" collapsed="false">
      <c r="A22" s="6" t="s">
        <v>262</v>
      </c>
      <c r="B22" s="46" t="n">
        <v>0.08</v>
      </c>
      <c r="C22" s="46" t="n">
        <v>0.08</v>
      </c>
      <c r="D22" s="46" t="n">
        <v>0.08</v>
      </c>
      <c r="E22" s="46" t="n">
        <v>0.08</v>
      </c>
      <c r="F22" s="46" t="n">
        <v>0.09</v>
      </c>
      <c r="G22" s="46" t="n">
        <v>0.09</v>
      </c>
      <c r="H22" s="46" t="n">
        <v>0.09</v>
      </c>
      <c r="I22" s="46" t="n">
        <v>0.09</v>
      </c>
      <c r="J22" s="46" t="n">
        <v>0.09</v>
      </c>
      <c r="K22" s="46" t="n">
        <v>0.08</v>
      </c>
      <c r="L22" s="46" t="n">
        <v>0.08</v>
      </c>
      <c r="M22" s="46" t="n">
        <v>0.07</v>
      </c>
      <c r="N22" s="47" t="n">
        <f aca="false">SUM(B22:M22)</f>
        <v>1</v>
      </c>
    </row>
    <row r="23" customFormat="false" ht="15" hidden="false" customHeight="false" outlineLevel="0" collapsed="false">
      <c r="A23" s="6" t="s">
        <v>345</v>
      </c>
      <c r="B23" s="46" t="n">
        <v>0</v>
      </c>
      <c r="C23" s="46" t="n">
        <v>0</v>
      </c>
      <c r="D23" s="46" t="n">
        <v>0</v>
      </c>
      <c r="E23" s="46" t="n">
        <v>0</v>
      </c>
      <c r="F23" s="46" t="n">
        <v>0</v>
      </c>
      <c r="G23" s="46" t="n">
        <v>0</v>
      </c>
      <c r="H23" s="46" t="n">
        <v>0</v>
      </c>
      <c r="I23" s="46" t="n">
        <v>0</v>
      </c>
      <c r="J23" s="46" t="n">
        <v>0</v>
      </c>
      <c r="K23" s="46" t="n">
        <v>0.2</v>
      </c>
      <c r="L23" s="46" t="n">
        <v>0.4</v>
      </c>
      <c r="M23" s="46" t="n">
        <v>0.4</v>
      </c>
      <c r="N23" s="47" t="n">
        <f aca="false">SUM(B23:M23)</f>
        <v>1</v>
      </c>
    </row>
    <row r="24" customFormat="false" ht="15" hidden="false" customHeight="false" outlineLevel="0" collapsed="false">
      <c r="A24" s="6" t="s">
        <v>265</v>
      </c>
      <c r="B24" s="46" t="n">
        <v>0</v>
      </c>
      <c r="C24" s="46" t="n">
        <v>0</v>
      </c>
      <c r="D24" s="46" t="n">
        <v>0</v>
      </c>
      <c r="E24" s="46" t="n">
        <v>0</v>
      </c>
      <c r="F24" s="46" t="n">
        <v>0</v>
      </c>
      <c r="G24" s="46" t="n">
        <v>0</v>
      </c>
      <c r="H24" s="46" t="n">
        <v>0</v>
      </c>
      <c r="I24" s="46" t="n">
        <v>0</v>
      </c>
      <c r="J24" s="46" t="n">
        <v>0</v>
      </c>
      <c r="K24" s="46" t="n">
        <v>0.2</v>
      </c>
      <c r="L24" s="46" t="n">
        <v>0.3</v>
      </c>
      <c r="M24" s="46" t="n">
        <v>0.5</v>
      </c>
      <c r="N24" s="47" t="n">
        <f aca="false">SUM(B24:M24)</f>
        <v>1</v>
      </c>
    </row>
    <row r="25" customFormat="false" ht="15" hidden="false" customHeight="false" outlineLevel="0" collapsed="false">
      <c r="A25" s="11" t="s">
        <v>346</v>
      </c>
      <c r="B25" s="18" t="n">
        <f aca="false">SUM(B32:B39)</f>
        <v>2230</v>
      </c>
      <c r="C25" s="18" t="n">
        <f aca="false">SUM(C32:C39)</f>
        <v>43230</v>
      </c>
      <c r="D25" s="18" t="n">
        <f aca="false">SUM(D32:D39)</f>
        <v>2230</v>
      </c>
      <c r="E25" s="18" t="n">
        <f aca="false">SUM(E32:E39)</f>
        <v>2230</v>
      </c>
      <c r="F25" s="18" t="n">
        <f aca="false">SUM(F32:F39)</f>
        <v>4040</v>
      </c>
      <c r="G25" s="18" t="n">
        <f aca="false">SUM(G32:G39)</f>
        <v>4040</v>
      </c>
      <c r="H25" s="18" t="n">
        <f aca="false">SUM(H32:H39)</f>
        <v>4040</v>
      </c>
      <c r="I25" s="18" t="n">
        <f aca="false">SUM(I32:I39)</f>
        <v>4040</v>
      </c>
      <c r="J25" s="18" t="n">
        <f aca="false">SUM(J32:J39)</f>
        <v>18540</v>
      </c>
      <c r="K25" s="18" t="n">
        <f aca="false">SUM(K32:K39)</f>
        <v>47439.0862</v>
      </c>
      <c r="L25" s="18" t="n">
        <f aca="false">SUM(L32:L39)</f>
        <v>136873.7618</v>
      </c>
      <c r="M25" s="18" t="n">
        <f aca="false">SUM(M32:M39)</f>
        <v>206862.583</v>
      </c>
      <c r="N25" s="44" t="n">
        <f aca="false">SUM(B25:M25)</f>
        <v>475795.431</v>
      </c>
    </row>
    <row r="27" customFormat="false" ht="15" hidden="false" customHeight="false" outlineLevel="0" collapsed="false">
      <c r="A27" s="13" t="s">
        <v>347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customFormat="false" ht="15" hidden="false" customHeight="false" outlineLevel="0" collapsed="false">
      <c r="A28" s="6" t="s">
        <v>338</v>
      </c>
      <c r="B28" s="18" t="n">
        <f aca="true">INDIRECT("'ENTRADAS PMO'!"&amp;'FLUXO DE CAIXA'!$B$6&amp;"18")*B10</f>
        <v>0</v>
      </c>
      <c r="C28" s="18" t="n">
        <f aca="true">INDIRECT("'ENTRADAS PMO'!"&amp;'FLUXO DE CAIXA'!$B$6&amp;"18")*C10</f>
        <v>13926.04</v>
      </c>
      <c r="D28" s="18" t="n">
        <f aca="true">INDIRECT("'ENTRADAS PMO'!"&amp;'FLUXO DE CAIXA'!$B$6&amp;"18")*D10</f>
        <v>27852.08</v>
      </c>
      <c r="E28" s="18" t="n">
        <f aca="true">INDIRECT("'ENTRADAS PMO'!"&amp;'FLUXO DE CAIXA'!$B$6&amp;"18")*E10</f>
        <v>27852.08</v>
      </c>
      <c r="F28" s="18" t="n">
        <f aca="true">INDIRECT("'ENTRADAS PMO'!"&amp;'FLUXO DE CAIXA'!$B$6&amp;"18")*F10</f>
        <v>27852.08</v>
      </c>
      <c r="G28" s="18" t="n">
        <f aca="true">INDIRECT("'ENTRADAS PMO'!"&amp;'FLUXO DE CAIXA'!$B$6&amp;"18")*G10</f>
        <v>13926.04</v>
      </c>
      <c r="H28" s="18" t="n">
        <f aca="true">INDIRECT("'ENTRADAS PMO'!"&amp;'FLUXO DE CAIXA'!$B$6&amp;"18")*H10</f>
        <v>13926.04</v>
      </c>
      <c r="I28" s="18" t="n">
        <f aca="true">INDIRECT("'ENTRADAS PMO'!"&amp;'FLUXO DE CAIXA'!$B$6&amp;"18")*I10</f>
        <v>13926.04</v>
      </c>
      <c r="J28" s="18" t="n">
        <f aca="true">INDIRECT("'ENTRADAS PMO'!"&amp;'FLUXO DE CAIXA'!$B$6&amp;"18")*J10</f>
        <v>27852.08</v>
      </c>
      <c r="K28" s="18" t="n">
        <f aca="true">INDIRECT("'ENTRADAS PMO'!"&amp;'FLUXO DE CAIXA'!$B$6&amp;"18")*K10</f>
        <v>41778.12</v>
      </c>
      <c r="L28" s="18" t="n">
        <f aca="true">INDIRECT("'ENTRADAS PMO'!"&amp;'FLUXO DE CAIXA'!$B$6&amp;"18")*L10</f>
        <v>41778.12</v>
      </c>
      <c r="M28" s="18" t="n">
        <f aca="true">INDIRECT("'ENTRADAS PMO'!"&amp;'FLUXO DE CAIXA'!$B$6&amp;"18")*M10</f>
        <v>27852.08</v>
      </c>
      <c r="N28" s="18" t="n">
        <f aca="false">SUM(B28:M28)</f>
        <v>278520.8</v>
      </c>
    </row>
    <row r="29" customFormat="false" ht="15" hidden="false" customHeight="false" outlineLevel="0" collapsed="false">
      <c r="A29" s="6" t="s">
        <v>339</v>
      </c>
      <c r="B29" s="18" t="n">
        <f aca="true">INDIRECT("'ENTRADAS PMO'!"&amp;'FLUXO DE CAIXA'!$B$6&amp;"24")*B11</f>
        <v>6350</v>
      </c>
      <c r="C29" s="18" t="n">
        <f aca="true">INDIRECT("'ENTRADAS PMO'!"&amp;'FLUXO DE CAIXA'!$B$6&amp;"24")*C11</f>
        <v>12700</v>
      </c>
      <c r="D29" s="18" t="n">
        <f aca="true">INDIRECT("'ENTRADAS PMO'!"&amp;'FLUXO DE CAIXA'!$B$6&amp;"24")*D11</f>
        <v>19050</v>
      </c>
      <c r="E29" s="18" t="n">
        <f aca="true">INDIRECT("'ENTRADAS PMO'!"&amp;'FLUXO DE CAIXA'!$B$6&amp;"24")*E11</f>
        <v>19050</v>
      </c>
      <c r="F29" s="18" t="n">
        <f aca="true">INDIRECT("'ENTRADAS PMO'!"&amp;'FLUXO DE CAIXA'!$B$6&amp;"24")*F11</f>
        <v>12700</v>
      </c>
      <c r="G29" s="18" t="n">
        <f aca="true">INDIRECT("'ENTRADAS PMO'!"&amp;'FLUXO DE CAIXA'!$B$6&amp;"24")*G11</f>
        <v>6350</v>
      </c>
      <c r="H29" s="18" t="n">
        <f aca="true">INDIRECT("'ENTRADAS PMO'!"&amp;'FLUXO DE CAIXA'!$B$6&amp;"24")*H11</f>
        <v>6350</v>
      </c>
      <c r="I29" s="18" t="n">
        <f aca="true">INDIRECT("'ENTRADAS PMO'!"&amp;'FLUXO DE CAIXA'!$B$6&amp;"24")*I11</f>
        <v>6350</v>
      </c>
      <c r="J29" s="18" t="n">
        <f aca="true">INDIRECT("'ENTRADAS PMO'!"&amp;'FLUXO DE CAIXA'!$B$6&amp;"24")*J11</f>
        <v>12700</v>
      </c>
      <c r="K29" s="18" t="n">
        <f aca="true">INDIRECT("'ENTRADAS PMO'!"&amp;'FLUXO DE CAIXA'!$B$6&amp;"24")*K11</f>
        <v>12700</v>
      </c>
      <c r="L29" s="18" t="n">
        <f aca="true">INDIRECT("'ENTRADAS PMO'!"&amp;'FLUXO DE CAIXA'!$B$6&amp;"24")*L11</f>
        <v>6350</v>
      </c>
      <c r="M29" s="18" t="n">
        <f aca="true">INDIRECT("'ENTRADAS PMO'!"&amp;'FLUXO DE CAIXA'!$B$6&amp;"24")*M11</f>
        <v>6350</v>
      </c>
      <c r="N29" s="18" t="n">
        <f aca="false">SUM(B29:M29)</f>
        <v>127000</v>
      </c>
    </row>
    <row r="30" customFormat="false" ht="15" hidden="false" customHeight="false" outlineLevel="0" collapsed="false">
      <c r="A30" s="6" t="s">
        <v>340</v>
      </c>
      <c r="B30" s="18" t="n">
        <f aca="true">INDIRECT("'ENTRADAS PMO'!"&amp;'FLUXO DE CAIXA'!$B$6&amp;"33")*B12</f>
        <v>0</v>
      </c>
      <c r="C30" s="18" t="n">
        <f aca="true">INDIRECT("'ENTRADAS PMO'!"&amp;'FLUXO DE CAIXA'!$B$6&amp;"33")*C12</f>
        <v>0</v>
      </c>
      <c r="D30" s="18" t="n">
        <f aca="true">INDIRECT("'ENTRADAS PMO'!"&amp;'FLUXO DE CAIXA'!$B$6&amp;"33")*D12</f>
        <v>0</v>
      </c>
      <c r="E30" s="18" t="n">
        <f aca="true">INDIRECT("'ENTRADAS PMO'!"&amp;'FLUXO DE CAIXA'!$B$6&amp;"33")*E12</f>
        <v>0</v>
      </c>
      <c r="F30" s="18" t="n">
        <f aca="true">INDIRECT("'ENTRADAS PMO'!"&amp;'FLUXO DE CAIXA'!$B$6&amp;"33")*F12</f>
        <v>0</v>
      </c>
      <c r="G30" s="18" t="n">
        <f aca="true">INDIRECT("'ENTRADAS PMO'!"&amp;'FLUXO DE CAIXA'!$B$6&amp;"33")*G12</f>
        <v>0</v>
      </c>
      <c r="H30" s="18" t="n">
        <f aca="true">INDIRECT("'ENTRADAS PMO'!"&amp;'FLUXO DE CAIXA'!$B$6&amp;"33")*H12</f>
        <v>0</v>
      </c>
      <c r="I30" s="18" t="n">
        <f aca="true">INDIRECT("'ENTRADAS PMO'!"&amp;'FLUXO DE CAIXA'!$B$6&amp;"33")*I12</f>
        <v>0</v>
      </c>
      <c r="J30" s="18" t="n">
        <f aca="true">INDIRECT("'ENTRADAS PMO'!"&amp;'FLUXO DE CAIXA'!$B$6&amp;"33")*J12</f>
        <v>0</v>
      </c>
      <c r="K30" s="18" t="n">
        <f aca="true">INDIRECT("'ENTRADAS PMO'!"&amp;'FLUXO DE CAIXA'!$B$6&amp;"33")*K12</f>
        <v>0</v>
      </c>
      <c r="L30" s="18" t="n">
        <f aca="true">INDIRECT("'ENTRADAS PMO'!"&amp;'FLUXO DE CAIXA'!$B$6&amp;"33")*L12</f>
        <v>0</v>
      </c>
      <c r="M30" s="18" t="n">
        <f aca="true">INDIRECT("'ENTRADAS PMO'!"&amp;'FLUXO DE CAIXA'!$B$6&amp;"33")*M12</f>
        <v>85505.7</v>
      </c>
      <c r="N30" s="18" t="n">
        <f aca="false">SUM(B30:M30)</f>
        <v>85505.7</v>
      </c>
    </row>
    <row r="31" customFormat="false" ht="15" hidden="false" customHeight="false" outlineLevel="0" collapsed="false">
      <c r="A31" s="6" t="s">
        <v>290</v>
      </c>
      <c r="B31" s="18" t="n">
        <f aca="true">INDIRECT("'ENTRADAS PMO'!"&amp;'FLUXO DE CAIXA'!$B$6&amp;"36")*B13</f>
        <v>0</v>
      </c>
      <c r="C31" s="18" t="n">
        <f aca="true">INDIRECT("'ENTRADAS PMO'!"&amp;'FLUXO DE CAIXA'!$B$6&amp;"36")*C13</f>
        <v>0</v>
      </c>
      <c r="D31" s="18" t="n">
        <f aca="true">INDIRECT("'ENTRADAS PMO'!"&amp;'FLUXO DE CAIXA'!$B$6&amp;"36")*D13</f>
        <v>0</v>
      </c>
      <c r="E31" s="18" t="n">
        <f aca="true">INDIRECT("'ENTRADAS PMO'!"&amp;'FLUXO DE CAIXA'!$B$6&amp;"36")*E13</f>
        <v>0</v>
      </c>
      <c r="F31" s="18" t="n">
        <f aca="true">INDIRECT("'ENTRADAS PMO'!"&amp;'FLUXO DE CAIXA'!$B$6&amp;"36")*F13</f>
        <v>0</v>
      </c>
      <c r="G31" s="18" t="n">
        <f aca="true">INDIRECT("'ENTRADAS PMO'!"&amp;'FLUXO DE CAIXA'!$B$6&amp;"36")*G13</f>
        <v>0</v>
      </c>
      <c r="H31" s="18" t="n">
        <f aca="true">INDIRECT("'ENTRADAS PMO'!"&amp;'FLUXO DE CAIXA'!$B$6&amp;"36")*H13</f>
        <v>0</v>
      </c>
      <c r="I31" s="18" t="n">
        <f aca="true">INDIRECT("'ENTRADAS PMO'!"&amp;'FLUXO DE CAIXA'!$B$6&amp;"36")*I13</f>
        <v>0</v>
      </c>
      <c r="J31" s="18" t="n">
        <f aca="true">INDIRECT("'ENTRADAS PMO'!"&amp;'FLUXO DE CAIXA'!$B$6&amp;"36")*J13</f>
        <v>0</v>
      </c>
      <c r="K31" s="18" t="n">
        <f aca="true">INDIRECT("'ENTRADAS PMO'!"&amp;'FLUXO DE CAIXA'!$B$6&amp;"36")*K13</f>
        <v>0</v>
      </c>
      <c r="L31" s="18" t="n">
        <f aca="true">INDIRECT("'ENTRADAS PMO'!"&amp;'FLUXO DE CAIXA'!$B$6&amp;"36")*L13</f>
        <v>0</v>
      </c>
      <c r="M31" s="18" t="n">
        <f aca="true">INDIRECT("'ENTRADAS PMO'!"&amp;'FLUXO DE CAIXA'!$B$6&amp;"36")*M13</f>
        <v>0</v>
      </c>
      <c r="N31" s="18" t="n">
        <f aca="false">SUM(B31:M31)</f>
        <v>0</v>
      </c>
    </row>
    <row r="32" customFormat="false" ht="15" hidden="false" customHeight="false" outlineLevel="0" collapsed="false">
      <c r="A32" s="6" t="s">
        <v>343</v>
      </c>
      <c r="B32" s="18" t="n">
        <f aca="true">INDIRECT("'ENTRADAS PMO'!"&amp;'FLUXO DE CAIXA'!$B$6&amp;"44")*B17</f>
        <v>0</v>
      </c>
      <c r="C32" s="18" t="n">
        <f aca="true">INDIRECT("'ENTRADAS PMO'!"&amp;'FLUXO DE CAIXA'!$B$6&amp;"44")*C17</f>
        <v>41000</v>
      </c>
      <c r="D32" s="18" t="n">
        <f aca="true">INDIRECT("'ENTRADAS PMO'!"&amp;'FLUXO DE CAIXA'!$B$6&amp;"44")*D17</f>
        <v>0</v>
      </c>
      <c r="E32" s="18" t="n">
        <f aca="true">INDIRECT("'ENTRADAS PMO'!"&amp;'FLUXO DE CAIXA'!$B$6&amp;"44")*E17</f>
        <v>0</v>
      </c>
      <c r="F32" s="18" t="n">
        <f aca="true">INDIRECT("'ENTRADAS PMO'!"&amp;'FLUXO DE CAIXA'!$B$6&amp;"44")*F17</f>
        <v>0</v>
      </c>
      <c r="G32" s="18" t="n">
        <f aca="true">INDIRECT("'ENTRADAS PMO'!"&amp;'FLUXO DE CAIXA'!$B$6&amp;"44")*G17</f>
        <v>0</v>
      </c>
      <c r="H32" s="18" t="n">
        <f aca="true">INDIRECT("'ENTRADAS PMO'!"&amp;'FLUXO DE CAIXA'!$B$6&amp;"44")*H17</f>
        <v>0</v>
      </c>
      <c r="I32" s="18" t="n">
        <f aca="true">INDIRECT("'ENTRADAS PMO'!"&amp;'FLUXO DE CAIXA'!$B$6&amp;"44")*I17</f>
        <v>0</v>
      </c>
      <c r="J32" s="18" t="n">
        <f aca="true">INDIRECT("'ENTRADAS PMO'!"&amp;'FLUXO DE CAIXA'!$B$6&amp;"44")*J17</f>
        <v>0</v>
      </c>
      <c r="K32" s="18" t="n">
        <f aca="true">INDIRECT("'ENTRADAS PMO'!"&amp;'FLUXO DE CAIXA'!$B$6&amp;"44")*K17</f>
        <v>0</v>
      </c>
      <c r="L32" s="18" t="n">
        <f aca="true">INDIRECT("'ENTRADAS PMO'!"&amp;'FLUXO DE CAIXA'!$B$6&amp;"44")*L17</f>
        <v>61500</v>
      </c>
      <c r="M32" s="18" t="n">
        <f aca="true">INDIRECT("'ENTRADAS PMO'!"&amp;'FLUXO DE CAIXA'!$B$6&amp;"44")*M17</f>
        <v>102500</v>
      </c>
      <c r="N32" s="18" t="n">
        <f aca="false">SUM(B32:M32)</f>
        <v>205000</v>
      </c>
    </row>
    <row r="33" customFormat="false" ht="15" hidden="false" customHeight="false" outlineLevel="0" collapsed="false">
      <c r="A33" s="6" t="s">
        <v>256</v>
      </c>
      <c r="B33" s="18" t="n">
        <f aca="true">INDIRECT("'ENTRADAS PMO'!"&amp;'FLUXO DE CAIXA'!$B$6&amp;"58")*B18</f>
        <v>0</v>
      </c>
      <c r="C33" s="18" t="n">
        <f aca="true">INDIRECT("'ENTRADAS PMO'!"&amp;'FLUXO DE CAIXA'!$B$6&amp;"58")*C18</f>
        <v>0</v>
      </c>
      <c r="D33" s="18" t="n">
        <f aca="true">INDIRECT("'ENTRADAS PMO'!"&amp;'FLUXO DE CAIXA'!$B$6&amp;"58")*D18</f>
        <v>0</v>
      </c>
      <c r="E33" s="18" t="n">
        <f aca="true">INDIRECT("'ENTRADAS PMO'!"&amp;'FLUXO DE CAIXA'!$B$6&amp;"58")*E18</f>
        <v>0</v>
      </c>
      <c r="F33" s="18" t="n">
        <f aca="true">INDIRECT("'ENTRADAS PMO'!"&amp;'FLUXO DE CAIXA'!$B$6&amp;"58")*F18</f>
        <v>0</v>
      </c>
      <c r="G33" s="18" t="n">
        <f aca="true">INDIRECT("'ENTRADAS PMO'!"&amp;'FLUXO DE CAIXA'!$B$6&amp;"58")*G18</f>
        <v>0</v>
      </c>
      <c r="H33" s="18" t="n">
        <f aca="true">INDIRECT("'ENTRADAS PMO'!"&amp;'FLUXO DE CAIXA'!$B$6&amp;"58")*H18</f>
        <v>0</v>
      </c>
      <c r="I33" s="18" t="n">
        <f aca="true">INDIRECT("'ENTRADAS PMO'!"&amp;'FLUXO DE CAIXA'!$B$6&amp;"58")*I18</f>
        <v>0</v>
      </c>
      <c r="J33" s="18" t="n">
        <f aca="true">INDIRECT("'ENTRADAS PMO'!"&amp;'FLUXO DE CAIXA'!$B$6&amp;"58")*J18</f>
        <v>9000</v>
      </c>
      <c r="K33" s="18" t="n">
        <f aca="true">INDIRECT("'ENTRADAS PMO'!"&amp;'FLUXO DE CAIXA'!$B$6&amp;"58")*K18</f>
        <v>18000</v>
      </c>
      <c r="L33" s="18" t="n">
        <f aca="true">INDIRECT("'ENTRADAS PMO'!"&amp;'FLUXO DE CAIXA'!$B$6&amp;"58")*L18</f>
        <v>27000</v>
      </c>
      <c r="M33" s="18" t="n">
        <f aca="true">INDIRECT("'ENTRADAS PMO'!"&amp;'FLUXO DE CAIXA'!$B$6&amp;"58")*M18</f>
        <v>36000</v>
      </c>
      <c r="N33" s="18" t="n">
        <f aca="false">SUM(B33:M33)</f>
        <v>90000</v>
      </c>
    </row>
    <row r="34" customFormat="false" ht="15" hidden="false" customHeight="false" outlineLevel="0" collapsed="false">
      <c r="A34" s="6" t="s">
        <v>344</v>
      </c>
      <c r="B34" s="18" t="n">
        <f aca="true">INDIRECT("'ENTRADAS PMO'!"&amp;'FLUXO DE CAIXA'!$B$6&amp;"72")*B19</f>
        <v>0</v>
      </c>
      <c r="C34" s="18" t="n">
        <f aca="true">INDIRECT("'ENTRADAS PMO'!"&amp;'FLUXO DE CAIXA'!$B$6&amp;"72")*C19</f>
        <v>0</v>
      </c>
      <c r="D34" s="18" t="n">
        <f aca="true">INDIRECT("'ENTRADAS PMO'!"&amp;'FLUXO DE CAIXA'!$B$6&amp;"72")*D19</f>
        <v>0</v>
      </c>
      <c r="E34" s="18" t="n">
        <f aca="true">INDIRECT("'ENTRADAS PMO'!"&amp;'FLUXO DE CAIXA'!$B$6&amp;"72")*E19</f>
        <v>0</v>
      </c>
      <c r="F34" s="18" t="n">
        <f aca="true">INDIRECT("'ENTRADAS PMO'!"&amp;'FLUXO DE CAIXA'!$B$6&amp;"72")*F19</f>
        <v>0</v>
      </c>
      <c r="G34" s="18" t="n">
        <f aca="true">INDIRECT("'ENTRADAS PMO'!"&amp;'FLUXO DE CAIXA'!$B$6&amp;"72")*G19</f>
        <v>0</v>
      </c>
      <c r="H34" s="18" t="n">
        <f aca="true">INDIRECT("'ENTRADAS PMO'!"&amp;'FLUXO DE CAIXA'!$B$6&amp;"72")*H19</f>
        <v>0</v>
      </c>
      <c r="I34" s="18" t="n">
        <f aca="true">INDIRECT("'ENTRADAS PMO'!"&amp;'FLUXO DE CAIXA'!$B$6&amp;"72")*I19</f>
        <v>0</v>
      </c>
      <c r="J34" s="18" t="n">
        <f aca="true">INDIRECT("'ENTRADAS PMO'!"&amp;'FLUXO DE CAIXA'!$B$6&amp;"72")*J19</f>
        <v>2500</v>
      </c>
      <c r="K34" s="18" t="n">
        <f aca="true">INDIRECT("'ENTRADAS PMO'!"&amp;'FLUXO DE CAIXA'!$B$6&amp;"72")*K19</f>
        <v>7500</v>
      </c>
      <c r="L34" s="18" t="n">
        <f aca="true">INDIRECT("'ENTRADAS PMO'!"&amp;'FLUXO DE CAIXA'!$B$6&amp;"72")*L19</f>
        <v>15000</v>
      </c>
      <c r="M34" s="18" t="n">
        <f aca="true">INDIRECT("'ENTRADAS PMO'!"&amp;'FLUXO DE CAIXA'!$B$6&amp;"72")*M19</f>
        <v>25000</v>
      </c>
      <c r="N34" s="18" t="n">
        <f aca="false">SUM(B34:M34)</f>
        <v>50000</v>
      </c>
    </row>
    <row r="35" customFormat="false" ht="15" hidden="false" customHeight="false" outlineLevel="0" collapsed="false">
      <c r="A35" s="6" t="s">
        <v>260</v>
      </c>
      <c r="B35" s="18" t="n">
        <f aca="true">INDIRECT("'ENTRADAS PMO'!"&amp;'FLUXO DE CAIXA'!$B$6&amp;"84")*B20</f>
        <v>1750</v>
      </c>
      <c r="C35" s="18" t="n">
        <f aca="true">INDIRECT("'ENTRADAS PMO'!"&amp;'FLUXO DE CAIXA'!$B$6&amp;"84")*C20</f>
        <v>1750</v>
      </c>
      <c r="D35" s="18" t="n">
        <f aca="true">INDIRECT("'ENTRADAS PMO'!"&amp;'FLUXO DE CAIXA'!$B$6&amp;"84")*D20</f>
        <v>1750</v>
      </c>
      <c r="E35" s="18" t="n">
        <f aca="true">INDIRECT("'ENTRADAS PMO'!"&amp;'FLUXO DE CAIXA'!$B$6&amp;"84")*E20</f>
        <v>1750</v>
      </c>
      <c r="F35" s="18" t="n">
        <f aca="true">INDIRECT("'ENTRADAS PMO'!"&amp;'FLUXO DE CAIXA'!$B$6&amp;"84")*F20</f>
        <v>3500</v>
      </c>
      <c r="G35" s="18" t="n">
        <f aca="true">INDIRECT("'ENTRADAS PMO'!"&amp;'FLUXO DE CAIXA'!$B$6&amp;"84")*G20</f>
        <v>3500</v>
      </c>
      <c r="H35" s="18" t="n">
        <f aca="true">INDIRECT("'ENTRADAS PMO'!"&amp;'FLUXO DE CAIXA'!$B$6&amp;"84")*H20</f>
        <v>3500</v>
      </c>
      <c r="I35" s="18" t="n">
        <f aca="true">INDIRECT("'ENTRADAS PMO'!"&amp;'FLUXO DE CAIXA'!$B$6&amp;"84")*I20</f>
        <v>3500</v>
      </c>
      <c r="J35" s="18" t="n">
        <f aca="true">INDIRECT("'ENTRADAS PMO'!"&amp;'FLUXO DE CAIXA'!$B$6&amp;"84")*J20</f>
        <v>3500</v>
      </c>
      <c r="K35" s="18" t="n">
        <f aca="true">INDIRECT("'ENTRADAS PMO'!"&amp;'FLUXO DE CAIXA'!$B$6&amp;"84")*K20</f>
        <v>3500</v>
      </c>
      <c r="L35" s="18" t="n">
        <f aca="true">INDIRECT("'ENTRADAS PMO'!"&amp;'FLUXO DE CAIXA'!$B$6&amp;"84")*L20</f>
        <v>3500</v>
      </c>
      <c r="M35" s="18" t="n">
        <f aca="true">INDIRECT("'ENTRADAS PMO'!"&amp;'FLUXO DE CAIXA'!$B$6&amp;"84")*M20</f>
        <v>3500</v>
      </c>
      <c r="N35" s="18" t="n">
        <f aca="false">SUM(B35:M35)</f>
        <v>35000</v>
      </c>
    </row>
    <row r="36" customFormat="false" ht="15" hidden="false" customHeight="false" outlineLevel="0" collapsed="false">
      <c r="A36" s="6" t="s">
        <v>261</v>
      </c>
      <c r="B36" s="18" t="n">
        <f aca="true">INDIRECT("'ENTRADAS PMO'!"&amp;'FLUXO DE CAIXA'!$B$6&amp;"93")*B21</f>
        <v>0</v>
      </c>
      <c r="C36" s="18" t="n">
        <f aca="true">INDIRECT("'ENTRADAS PMO'!"&amp;'FLUXO DE CAIXA'!$B$6&amp;"93")*C21</f>
        <v>0</v>
      </c>
      <c r="D36" s="18" t="n">
        <f aca="true">INDIRECT("'ENTRADAS PMO'!"&amp;'FLUXO DE CAIXA'!$B$6&amp;"93")*D21</f>
        <v>0</v>
      </c>
      <c r="E36" s="18" t="n">
        <f aca="true">INDIRECT("'ENTRADAS PMO'!"&amp;'FLUXO DE CAIXA'!$B$6&amp;"93")*E21</f>
        <v>0</v>
      </c>
      <c r="F36" s="18" t="n">
        <f aca="true">INDIRECT("'ENTRADAS PMO'!"&amp;'FLUXO DE CAIXA'!$B$6&amp;"93")*F21</f>
        <v>0</v>
      </c>
      <c r="G36" s="18" t="n">
        <f aca="true">INDIRECT("'ENTRADAS PMO'!"&amp;'FLUXO DE CAIXA'!$B$6&amp;"93")*G21</f>
        <v>0</v>
      </c>
      <c r="H36" s="18" t="n">
        <f aca="true">INDIRECT("'ENTRADAS PMO'!"&amp;'FLUXO DE CAIXA'!$B$6&amp;"93")*H21</f>
        <v>0</v>
      </c>
      <c r="I36" s="18" t="n">
        <f aca="true">INDIRECT("'ENTRADAS PMO'!"&amp;'FLUXO DE CAIXA'!$B$6&amp;"93")*I21</f>
        <v>0</v>
      </c>
      <c r="J36" s="18" t="n">
        <f aca="true">INDIRECT("'ENTRADAS PMO'!"&amp;'FLUXO DE CAIXA'!$B$6&amp;"93")*J21</f>
        <v>3000</v>
      </c>
      <c r="K36" s="18" t="n">
        <f aca="true">INDIRECT("'ENTRADAS PMO'!"&amp;'FLUXO DE CAIXA'!$B$6&amp;"93")*K21</f>
        <v>6000</v>
      </c>
      <c r="L36" s="18" t="n">
        <f aca="true">INDIRECT("'ENTRADAS PMO'!"&amp;'FLUXO DE CAIXA'!$B$6&amp;"93")*L21</f>
        <v>9000</v>
      </c>
      <c r="M36" s="18" t="n">
        <f aca="true">INDIRECT("'ENTRADAS PMO'!"&amp;'FLUXO DE CAIXA'!$B$6&amp;"93")*M21</f>
        <v>12000</v>
      </c>
      <c r="N36" s="18" t="n">
        <f aca="false">SUM(B36:M36)</f>
        <v>30000</v>
      </c>
    </row>
    <row r="37" customFormat="false" ht="15" hidden="false" customHeight="false" outlineLevel="0" collapsed="false">
      <c r="A37" s="6" t="s">
        <v>262</v>
      </c>
      <c r="B37" s="18" t="n">
        <f aca="true">INDIRECT("'ENTRADAS PMO'!"&amp;'FLUXO DE CAIXA'!$B$6&amp;"99")*B22</f>
        <v>480</v>
      </c>
      <c r="C37" s="18" t="n">
        <f aca="true">INDIRECT("'ENTRADAS PMO'!"&amp;'FLUXO DE CAIXA'!$B$6&amp;"99")*C22</f>
        <v>480</v>
      </c>
      <c r="D37" s="18" t="n">
        <f aca="true">INDIRECT("'ENTRADAS PMO'!"&amp;'FLUXO DE CAIXA'!$B$6&amp;"99")*D22</f>
        <v>480</v>
      </c>
      <c r="E37" s="18" t="n">
        <f aca="true">INDIRECT("'ENTRADAS PMO'!"&amp;'FLUXO DE CAIXA'!$B$6&amp;"99")*E22</f>
        <v>480</v>
      </c>
      <c r="F37" s="18" t="n">
        <f aca="true">INDIRECT("'ENTRADAS PMO'!"&amp;'FLUXO DE CAIXA'!$B$6&amp;"99")*F22</f>
        <v>540</v>
      </c>
      <c r="G37" s="18" t="n">
        <f aca="true">INDIRECT("'ENTRADAS PMO'!"&amp;'FLUXO DE CAIXA'!$B$6&amp;"99")*G22</f>
        <v>540</v>
      </c>
      <c r="H37" s="18" t="n">
        <f aca="true">INDIRECT("'ENTRADAS PMO'!"&amp;'FLUXO DE CAIXA'!$B$6&amp;"99")*H22</f>
        <v>540</v>
      </c>
      <c r="I37" s="18" t="n">
        <f aca="true">INDIRECT("'ENTRADAS PMO'!"&amp;'FLUXO DE CAIXA'!$B$6&amp;"99")*I22</f>
        <v>540</v>
      </c>
      <c r="J37" s="18" t="n">
        <f aca="true">INDIRECT("'ENTRADAS PMO'!"&amp;'FLUXO DE CAIXA'!$B$6&amp;"99")*J22</f>
        <v>540</v>
      </c>
      <c r="K37" s="18" t="n">
        <f aca="true">INDIRECT("'ENTRADAS PMO'!"&amp;'FLUXO DE CAIXA'!$B$6&amp;"99")*K22</f>
        <v>480</v>
      </c>
      <c r="L37" s="18" t="n">
        <f aca="true">INDIRECT("'ENTRADAS PMO'!"&amp;'FLUXO DE CAIXA'!$B$6&amp;"99")*L22</f>
        <v>480</v>
      </c>
      <c r="M37" s="18" t="n">
        <f aca="true">INDIRECT("'ENTRADAS PMO'!"&amp;'FLUXO DE CAIXA'!$B$6&amp;"99")*M22</f>
        <v>420</v>
      </c>
      <c r="N37" s="18" t="n">
        <f aca="false">SUM(B37:M37)</f>
        <v>6000</v>
      </c>
    </row>
    <row r="38" customFormat="false" ht="15" hidden="false" customHeight="false" outlineLevel="0" collapsed="false">
      <c r="A38" s="6" t="s">
        <v>345</v>
      </c>
      <c r="B38" s="18" t="n">
        <f aca="true">INDIRECT("'ENTRADAS PMO'!"&amp;'FLUXO DE CAIXA'!$B$6&amp;"104")*B23</f>
        <v>0</v>
      </c>
      <c r="C38" s="18" t="n">
        <f aca="true">INDIRECT("'ENTRADAS PMO'!"&amp;'FLUXO DE CAIXA'!$B$6&amp;"104")*C23</f>
        <v>0</v>
      </c>
      <c r="D38" s="18" t="n">
        <f aca="true">INDIRECT("'ENTRADAS PMO'!"&amp;'FLUXO DE CAIXA'!$B$6&amp;"104")*D23</f>
        <v>0</v>
      </c>
      <c r="E38" s="18" t="n">
        <f aca="true">INDIRECT("'ENTRADAS PMO'!"&amp;'FLUXO DE CAIXA'!$B$6&amp;"104")*E23</f>
        <v>0</v>
      </c>
      <c r="F38" s="18" t="n">
        <f aca="true">INDIRECT("'ENTRADAS PMO'!"&amp;'FLUXO DE CAIXA'!$B$6&amp;"104")*F23</f>
        <v>0</v>
      </c>
      <c r="G38" s="18" t="n">
        <f aca="true">INDIRECT("'ENTRADAS PMO'!"&amp;'FLUXO DE CAIXA'!$B$6&amp;"104")*G23</f>
        <v>0</v>
      </c>
      <c r="H38" s="18" t="n">
        <f aca="true">INDIRECT("'ENTRADAS PMO'!"&amp;'FLUXO DE CAIXA'!$B$6&amp;"104")*H23</f>
        <v>0</v>
      </c>
      <c r="I38" s="18" t="n">
        <f aca="true">INDIRECT("'ENTRADAS PMO'!"&amp;'FLUXO DE CAIXA'!$B$6&amp;"104")*I23</f>
        <v>0</v>
      </c>
      <c r="J38" s="18" t="n">
        <f aca="true">INDIRECT("'ENTRADAS PMO'!"&amp;'FLUXO DE CAIXA'!$B$6&amp;"104")*J23</f>
        <v>0</v>
      </c>
      <c r="K38" s="18" t="n">
        <f aca="true">INDIRECT("'ENTRADAS PMO'!"&amp;'FLUXO DE CAIXA'!$B$6&amp;"104")*K23</f>
        <v>4910.265</v>
      </c>
      <c r="L38" s="18" t="n">
        <f aca="true">INDIRECT("'ENTRADAS PMO'!"&amp;'FLUXO DE CAIXA'!$B$6&amp;"104")*L23</f>
        <v>9820.53</v>
      </c>
      <c r="M38" s="18" t="n">
        <f aca="true">INDIRECT("'ENTRADAS PMO'!"&amp;'FLUXO DE CAIXA'!$B$6&amp;"104")*M23</f>
        <v>9820.53</v>
      </c>
      <c r="N38" s="18" t="n">
        <f aca="false">SUM(B38:M38)</f>
        <v>24551.325</v>
      </c>
    </row>
    <row r="39" customFormat="false" ht="15" hidden="false" customHeight="false" outlineLevel="0" collapsed="false">
      <c r="A39" s="6" t="s">
        <v>265</v>
      </c>
      <c r="B39" s="18" t="n">
        <f aca="true">INDIRECT("'ENTRADAS PMO'!"&amp;'FLUXO DE CAIXA'!$B$6&amp;"106")*B24</f>
        <v>0</v>
      </c>
      <c r="C39" s="18" t="n">
        <f aca="true">INDIRECT("'ENTRADAS PMO'!"&amp;'FLUXO DE CAIXA'!$B$6&amp;"106")*C24</f>
        <v>0</v>
      </c>
      <c r="D39" s="18" t="n">
        <f aca="true">INDIRECT("'ENTRADAS PMO'!"&amp;'FLUXO DE CAIXA'!$B$6&amp;"106")*D24</f>
        <v>0</v>
      </c>
      <c r="E39" s="18" t="n">
        <f aca="true">INDIRECT("'ENTRADAS PMO'!"&amp;'FLUXO DE CAIXA'!$B$6&amp;"106")*E24</f>
        <v>0</v>
      </c>
      <c r="F39" s="18" t="n">
        <f aca="true">INDIRECT("'ENTRADAS PMO'!"&amp;'FLUXO DE CAIXA'!$B$6&amp;"106")*F24</f>
        <v>0</v>
      </c>
      <c r="G39" s="18" t="n">
        <f aca="true">INDIRECT("'ENTRADAS PMO'!"&amp;'FLUXO DE CAIXA'!$B$6&amp;"106")*G24</f>
        <v>0</v>
      </c>
      <c r="H39" s="18" t="n">
        <f aca="true">INDIRECT("'ENTRADAS PMO'!"&amp;'FLUXO DE CAIXA'!$B$6&amp;"106")*H24</f>
        <v>0</v>
      </c>
      <c r="I39" s="18" t="n">
        <f aca="true">INDIRECT("'ENTRADAS PMO'!"&amp;'FLUXO DE CAIXA'!$B$6&amp;"106")*I24</f>
        <v>0</v>
      </c>
      <c r="J39" s="18" t="n">
        <f aca="true">INDIRECT("'ENTRADAS PMO'!"&amp;'FLUXO DE CAIXA'!$B$6&amp;"106")*J24</f>
        <v>0</v>
      </c>
      <c r="K39" s="18" t="n">
        <f aca="true">INDIRECT("'ENTRADAS PMO'!"&amp;'FLUXO DE CAIXA'!$B$6&amp;"106")*K24</f>
        <v>7048.8212</v>
      </c>
      <c r="L39" s="18" t="n">
        <f aca="true">INDIRECT("'ENTRADAS PMO'!"&amp;'FLUXO DE CAIXA'!$B$6&amp;"106")*L24</f>
        <v>10573.2318</v>
      </c>
      <c r="M39" s="18" t="n">
        <f aca="true">INDIRECT("'ENTRADAS PMO'!"&amp;'FLUXO DE CAIXA'!$B$6&amp;"106")*M24</f>
        <v>17622.053</v>
      </c>
      <c r="N39" s="18" t="n">
        <f aca="false">SUM(B39:M39)</f>
        <v>35244.106</v>
      </c>
    </row>
    <row r="41" customFormat="false" ht="15" hidden="false" customHeight="false" outlineLevel="0" collapsed="false">
      <c r="A41" s="13" t="s">
        <v>348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customFormat="false" ht="15" hidden="false" customHeight="false" outlineLevel="0" collapsed="false">
      <c r="A42" s="11" t="s">
        <v>349</v>
      </c>
      <c r="B42" s="18" t="n">
        <f aca="false">B14-B25</f>
        <v>4120</v>
      </c>
      <c r="C42" s="18" t="n">
        <f aca="false">C14-C25</f>
        <v>-16603.96</v>
      </c>
      <c r="D42" s="18" t="n">
        <f aca="false">D14-D25</f>
        <v>44672.08</v>
      </c>
      <c r="E42" s="18" t="n">
        <f aca="false">E14-E25</f>
        <v>44672.08</v>
      </c>
      <c r="F42" s="18" t="n">
        <f aca="false">F14-F25</f>
        <v>36512.08</v>
      </c>
      <c r="G42" s="18" t="n">
        <f aca="false">G14-G25</f>
        <v>16236.04</v>
      </c>
      <c r="H42" s="18" t="n">
        <f aca="false">H14-H25</f>
        <v>16236.04</v>
      </c>
      <c r="I42" s="18" t="n">
        <f aca="false">I14-I25</f>
        <v>16236.04</v>
      </c>
      <c r="J42" s="18" t="n">
        <f aca="false">J14-J25</f>
        <v>22012.08</v>
      </c>
      <c r="K42" s="18" t="n">
        <f aca="false">K14-K25</f>
        <v>7039.0338</v>
      </c>
      <c r="L42" s="18" t="n">
        <f aca="false">L14-L25</f>
        <v>-88745.6418</v>
      </c>
      <c r="M42" s="18" t="n">
        <f aca="false">M14-M25</f>
        <v>-87154.803</v>
      </c>
      <c r="N42" s="18" t="n">
        <f aca="false">SUM(B42:M42)</f>
        <v>15231.069</v>
      </c>
    </row>
    <row r="43" customFormat="false" ht="15" hidden="false" customHeight="false" outlineLevel="0" collapsed="false">
      <c r="A43" s="11" t="s">
        <v>350</v>
      </c>
      <c r="B43" s="18" t="n">
        <f aca="false">'FLUXO DE CAIXA'!$B$5+B42</f>
        <v>4120</v>
      </c>
      <c r="C43" s="18" t="n">
        <f aca="false">B43+C42</f>
        <v>-12483.96</v>
      </c>
      <c r="D43" s="18" t="n">
        <f aca="false">C43+D42</f>
        <v>32188.12</v>
      </c>
      <c r="E43" s="18" t="n">
        <f aca="false">D43+E42</f>
        <v>76860.2</v>
      </c>
      <c r="F43" s="18" t="n">
        <f aca="false">E43+F42</f>
        <v>113372.28</v>
      </c>
      <c r="G43" s="18" t="n">
        <f aca="false">F43+G42</f>
        <v>129608.32</v>
      </c>
      <c r="H43" s="18" t="n">
        <f aca="false">G43+H42</f>
        <v>145844.36</v>
      </c>
      <c r="I43" s="18" t="n">
        <f aca="false">H43+I42</f>
        <v>162080.4</v>
      </c>
      <c r="J43" s="18" t="n">
        <f aca="false">I43+J42</f>
        <v>184092.48</v>
      </c>
      <c r="K43" s="18" t="n">
        <f aca="false">J43+K42</f>
        <v>191131.5138</v>
      </c>
      <c r="L43" s="18" t="n">
        <f aca="false">K43+L42</f>
        <v>102385.872</v>
      </c>
      <c r="M43" s="18" t="n">
        <f aca="false">L43+M42</f>
        <v>15231.069</v>
      </c>
    </row>
    <row r="45" customFormat="false" ht="15" hidden="false" customHeight="false" outlineLevel="0" collapsed="false">
      <c r="A45" s="11" t="s">
        <v>351</v>
      </c>
      <c r="B45" s="18" t="n">
        <f aca="false">MAX(0,-MIN(B43:M43))</f>
        <v>12483.96</v>
      </c>
    </row>
    <row r="46" customFormat="false" ht="15" hidden="false" customHeight="false" outlineLevel="0" collapsed="false">
      <c r="A46" s="11" t="s">
        <v>352</v>
      </c>
      <c r="B46" s="18" t="n">
        <f aca="false">N14-N25</f>
        <v>15231.069</v>
      </c>
    </row>
    <row r="47" customFormat="false" ht="15" hidden="false" customHeight="false" outlineLevel="0" collapsed="false">
      <c r="A47" s="11" t="s">
        <v>353</v>
      </c>
      <c r="B47" s="20" t="str">
        <f aca="false">IF(AND(B46&gt;0,MIN(B43:M43)&lt;0),"⚠ RISCO: projeto lucrativo no total, mas há déficit de caixa antes/durante o evento — capital de giro necessário",IF(MIN(B43:M43)&lt;0,"⚠ RISCO: caixa fica negativo em algum mês","OK — caixa positivo em todos os meses"))</f>
        <v>⚠ RISCO: projeto lucrativo no total, mas há déficit de caixa antes/durante o evento — capital de giro necessário</v>
      </c>
      <c r="C47" s="20"/>
      <c r="D47" s="20"/>
      <c r="E47" s="20"/>
      <c r="F47" s="20"/>
      <c r="G47" s="20"/>
      <c r="H47" s="20"/>
    </row>
    <row r="49" customFormat="false" ht="15" hidden="false" customHeight="false" outlineLevel="0" collapsed="false">
      <c r="A49" s="13" t="s">
        <v>354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customFormat="false" ht="15" hidden="false" customHeight="false" outlineLevel="0" collapsed="false">
      <c r="A50" s="2" t="s">
        <v>355</v>
      </c>
    </row>
    <row r="51" customFormat="false" ht="15" hidden="false" customHeight="false" outlineLevel="0" collapsed="false">
      <c r="A51" s="22" t="s">
        <v>323</v>
      </c>
      <c r="B51" s="22" t="s">
        <v>356</v>
      </c>
      <c r="C51" s="22" t="s">
        <v>357</v>
      </c>
      <c r="D51" s="22" t="s">
        <v>358</v>
      </c>
      <c r="E51" s="22" t="s">
        <v>359</v>
      </c>
      <c r="F51" s="22" t="s">
        <v>360</v>
      </c>
      <c r="G51" s="22" t="s">
        <v>361</v>
      </c>
      <c r="H51" s="22" t="s">
        <v>362</v>
      </c>
      <c r="I51" s="22" t="s">
        <v>363</v>
      </c>
      <c r="J51" s="22" t="s">
        <v>364</v>
      </c>
    </row>
    <row r="52" customFormat="false" ht="15" hidden="false" customHeight="false" outlineLevel="0" collapsed="false">
      <c r="A52" s="6" t="s">
        <v>365</v>
      </c>
      <c r="B52" s="46" t="n">
        <v>0.05</v>
      </c>
      <c r="C52" s="46" t="n">
        <v>0.05</v>
      </c>
      <c r="D52" s="46" t="n">
        <v>0.08</v>
      </c>
      <c r="E52" s="46" t="n">
        <v>0.08</v>
      </c>
      <c r="F52" s="46" t="n">
        <v>0.1</v>
      </c>
      <c r="G52" s="46" t="n">
        <v>0.12</v>
      </c>
      <c r="H52" s="46" t="n">
        <v>0.22</v>
      </c>
      <c r="I52" s="46" t="n">
        <v>0.3</v>
      </c>
      <c r="J52" s="47" t="n">
        <f aca="false">SUM(B52:I52)</f>
        <v>1</v>
      </c>
    </row>
    <row r="53" customFormat="false" ht="15" hidden="false" customHeight="false" outlineLevel="0" collapsed="false">
      <c r="A53" s="6" t="s">
        <v>366</v>
      </c>
      <c r="B53" s="46" t="n">
        <v>0.05</v>
      </c>
      <c r="C53" s="46" t="n">
        <v>0.05</v>
      </c>
      <c r="D53" s="46" t="n">
        <v>0.08</v>
      </c>
      <c r="E53" s="46" t="n">
        <v>0.1</v>
      </c>
      <c r="F53" s="46" t="n">
        <v>0.12</v>
      </c>
      <c r="G53" s="46" t="n">
        <v>0.15</v>
      </c>
      <c r="H53" s="46" t="n">
        <v>0.2</v>
      </c>
      <c r="I53" s="46" t="n">
        <v>0.25</v>
      </c>
      <c r="J53" s="47" t="n">
        <f aca="false">SUM(B53:I53)</f>
        <v>1</v>
      </c>
    </row>
    <row r="54" customFormat="false" ht="15" hidden="false" customHeight="false" outlineLevel="0" collapsed="false">
      <c r="A54" s="6" t="s">
        <v>367</v>
      </c>
      <c r="B54" s="18" t="n">
        <f aca="false">$N$14*B52</f>
        <v>24551.325</v>
      </c>
      <c r="C54" s="18" t="n">
        <f aca="false">$N$14*C52</f>
        <v>24551.325</v>
      </c>
      <c r="D54" s="18" t="n">
        <f aca="false">$N$14*D52</f>
        <v>39282.12</v>
      </c>
      <c r="E54" s="18" t="n">
        <f aca="false">$N$14*E52</f>
        <v>39282.12</v>
      </c>
      <c r="F54" s="18" t="n">
        <f aca="false">$N$14*F52</f>
        <v>49102.65</v>
      </c>
      <c r="G54" s="18" t="n">
        <f aca="false">$N$14*G52</f>
        <v>58923.18</v>
      </c>
      <c r="H54" s="18" t="n">
        <f aca="false">$N$14*H52</f>
        <v>108025.83</v>
      </c>
      <c r="I54" s="18" t="n">
        <f aca="false">$N$14*I52</f>
        <v>147307.95</v>
      </c>
      <c r="J54" s="18" t="n">
        <f aca="false">SUM(B54:I54)</f>
        <v>491026.5</v>
      </c>
    </row>
    <row r="55" customFormat="false" ht="15" hidden="false" customHeight="false" outlineLevel="0" collapsed="false">
      <c r="A55" s="6" t="s">
        <v>368</v>
      </c>
      <c r="B55" s="18" t="n">
        <f aca="false">$N$25*B53</f>
        <v>23789.77155</v>
      </c>
      <c r="C55" s="18" t="n">
        <f aca="false">$N$25*C53</f>
        <v>23789.77155</v>
      </c>
      <c r="D55" s="18" t="n">
        <f aca="false">$N$25*D53</f>
        <v>38063.63448</v>
      </c>
      <c r="E55" s="18" t="n">
        <f aca="false">$N$25*E53</f>
        <v>47579.5431</v>
      </c>
      <c r="F55" s="18" t="n">
        <f aca="false">$N$25*F53</f>
        <v>57095.45172</v>
      </c>
      <c r="G55" s="18" t="n">
        <f aca="false">$N$25*G53</f>
        <v>71369.31465</v>
      </c>
      <c r="H55" s="18" t="n">
        <f aca="false">$N$25*H53</f>
        <v>95159.0862</v>
      </c>
      <c r="I55" s="18" t="n">
        <f aca="false">$N$25*I53</f>
        <v>118948.85775</v>
      </c>
      <c r="J55" s="18" t="n">
        <f aca="false">SUM(B55:I55)</f>
        <v>475795.431</v>
      </c>
    </row>
    <row r="56" customFormat="false" ht="15" hidden="false" customHeight="false" outlineLevel="0" collapsed="false">
      <c r="A56" s="11" t="s">
        <v>369</v>
      </c>
      <c r="B56" s="18" t="n">
        <f aca="false">L43+B54-B55</f>
        <v>103147.42545</v>
      </c>
      <c r="C56" s="18" t="n">
        <f aca="false">B56+C54-C55</f>
        <v>103908.9789</v>
      </c>
      <c r="D56" s="18" t="n">
        <f aca="false">C56+D54-D55</f>
        <v>105127.46442</v>
      </c>
      <c r="E56" s="18" t="n">
        <f aca="false">D56+E54-E55</f>
        <v>96830.04132</v>
      </c>
      <c r="F56" s="18" t="n">
        <f aca="false">E56+F54-F55</f>
        <v>88837.2396</v>
      </c>
      <c r="G56" s="18" t="n">
        <f aca="false">F56+G54-G55</f>
        <v>76391.10495</v>
      </c>
      <c r="H56" s="18" t="n">
        <f aca="false">G56+H54-H55</f>
        <v>89257.84875</v>
      </c>
      <c r="I56" s="18" t="n">
        <f aca="false">H56+I54-I55</f>
        <v>117616.941</v>
      </c>
    </row>
    <row r="59" customFormat="false" ht="15" hidden="false" customHeight="false" outlineLevel="0" collapsed="false">
      <c r="A59" s="13" t="s">
        <v>370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customFormat="false" ht="15" hidden="false" customHeight="false" outlineLevel="0" collapsed="false">
      <c r="A60" s="2" t="s">
        <v>371</v>
      </c>
    </row>
    <row r="61" customFormat="false" ht="15" hidden="false" customHeight="false" outlineLevel="0" collapsed="false">
      <c r="A61" s="11" t="s">
        <v>372</v>
      </c>
      <c r="B61" s="18" t="n">
        <f aca="false">'FLUXO DE CAIXA'!$B$5+(('ENTRADAS PMO'!$C$18*B10+'ENTRADAS PMO'!$C$24*B11+'ENTRADAS PMO'!$C$33*B12+'ENTRADAS PMO'!$C$36*B13)-('ENTRADAS PMO'!$C$44*B17+'ENTRADAS PMO'!$C$58*B18+'ENTRADAS PMO'!$C$72*B19+'ENTRADAS PMO'!$C$84*B20+'ENTRADAS PMO'!$C$93*B21+'ENTRADAS PMO'!$C$99*B22+'ENTRADAS PMO'!$C$104*B23+'ENTRADAS PMO'!$C$106*B24))</f>
        <v>501</v>
      </c>
      <c r="C61" s="18" t="n">
        <f aca="false">B61+(('ENTRADAS PMO'!$C$18*C10+'ENTRADAS PMO'!$C$24*C11+'ENTRADAS PMO'!$C$33*C12+'ENTRADAS PMO'!$C$36*C13)-('ENTRADAS PMO'!$C$44*C17+'ENTRADAS PMO'!$C$58*C18+'ENTRADAS PMO'!$C$72*C19+'ENTRADAS PMO'!$C$84*C20+'ENTRADAS PMO'!$C$93*C21+'ENTRADAS PMO'!$C$99*C22+'ENTRADAS PMO'!$C$104*C23+'ENTRADAS PMO'!$C$106*C24))</f>
        <v>-26919.1</v>
      </c>
      <c r="D61" s="18" t="n">
        <f aca="false">C61+(('ENTRADAS PMO'!$C$18*D10+'ENTRADAS PMO'!$C$24*D11+'ENTRADAS PMO'!$C$33*D12+'ENTRADAS PMO'!$C$36*D13)-('ENTRADAS PMO'!$C$44*D17+'ENTRADAS PMO'!$C$58*D18+'ENTRADAS PMO'!$C$72*D19+'ENTRADAS PMO'!$C$84*D20+'ENTRADAS PMO'!$C$93*D21+'ENTRADAS PMO'!$C$99*D22+'ENTRADAS PMO'!$C$104*D23+'ENTRADAS PMO'!$C$106*D24))</f>
        <v>-10260.3</v>
      </c>
      <c r="E61" s="18" t="n">
        <f aca="false">D61+(('ENTRADAS PMO'!$C$18*E10+'ENTRADAS PMO'!$C$24*E11+'ENTRADAS PMO'!$C$33*E12+'ENTRADAS PMO'!$C$36*E13)-('ENTRADAS PMO'!$C$44*E17+'ENTRADAS PMO'!$C$58*E18+'ENTRADAS PMO'!$C$72*E19+'ENTRADAS PMO'!$C$84*E20+'ENTRADAS PMO'!$C$93*E21+'ENTRADAS PMO'!$C$99*E22+'ENTRADAS PMO'!$C$104*E23+'ENTRADAS PMO'!$C$106*E24))</f>
        <v>6398.50000000001</v>
      </c>
      <c r="F61" s="18" t="n">
        <f aca="false">E61+(('ENTRADAS PMO'!$C$18*F10+'ENTRADAS PMO'!$C$24*F11+'ENTRADAS PMO'!$C$33*F12+'ENTRADAS PMO'!$C$36*F13)-('ENTRADAS PMO'!$C$44*F17+'ENTRADAS PMO'!$C$58*F18+'ENTRADAS PMO'!$C$72*F19+'ENTRADAS PMO'!$C$84*F20+'ENTRADAS PMO'!$C$93*F21+'ENTRADAS PMO'!$C$99*F22+'ENTRADAS PMO'!$C$104*F23+'ENTRADAS PMO'!$C$106*F24))</f>
        <v>19336.3</v>
      </c>
      <c r="G61" s="18" t="n">
        <f aca="false">F61+(('ENTRADAS PMO'!$C$18*G10+'ENTRADAS PMO'!$C$24*G11+'ENTRADAS PMO'!$C$33*G12+'ENTRADAS PMO'!$C$36*G13)-('ENTRADAS PMO'!$C$44*G17+'ENTRADAS PMO'!$C$58*G18+'ENTRADAS PMO'!$C$72*G19+'ENTRADAS PMO'!$C$84*G20+'ENTRADAS PMO'!$C$93*G21+'ENTRADAS PMO'!$C$99*G22+'ENTRADAS PMO'!$C$104*G23+'ENTRADAS PMO'!$C$106*G24))</f>
        <v>24195.2</v>
      </c>
      <c r="H61" s="18" t="n">
        <f aca="false">G61+(('ENTRADAS PMO'!$C$18*H10+'ENTRADAS PMO'!$C$24*H11+'ENTRADAS PMO'!$C$33*H12+'ENTRADAS PMO'!$C$36*H13)-('ENTRADAS PMO'!$C$44*H17+'ENTRADAS PMO'!$C$58*H18+'ENTRADAS PMO'!$C$72*H19+'ENTRADAS PMO'!$C$84*H20+'ENTRADAS PMO'!$C$93*H21+'ENTRADAS PMO'!$C$99*H22+'ENTRADAS PMO'!$C$104*H23+'ENTRADAS PMO'!$C$106*H24))</f>
        <v>29054.1</v>
      </c>
      <c r="I61" s="18" t="n">
        <f aca="false">H61+(('ENTRADAS PMO'!$C$18*I10+'ENTRADAS PMO'!$C$24*I11+'ENTRADAS PMO'!$C$33*I12+'ENTRADAS PMO'!$C$36*I13)-('ENTRADAS PMO'!$C$44*I17+'ENTRADAS PMO'!$C$58*I18+'ENTRADAS PMO'!$C$72*I19+'ENTRADAS PMO'!$C$84*I20+'ENTRADAS PMO'!$C$93*I21+'ENTRADAS PMO'!$C$99*I22+'ENTRADAS PMO'!$C$104*I23+'ENTRADAS PMO'!$C$106*I24))</f>
        <v>33913</v>
      </c>
      <c r="J61" s="18" t="n">
        <f aca="false">I61+(('ENTRADAS PMO'!$C$18*J10+'ENTRADAS PMO'!$C$24*J11+'ENTRADAS PMO'!$C$33*J12+'ENTRADAS PMO'!$C$36*J13)-('ENTRADAS PMO'!$C$44*J17+'ENTRADAS PMO'!$C$58*J18+'ENTRADAS PMO'!$C$72*J19+'ENTRADAS PMO'!$C$84*J20+'ENTRADAS PMO'!$C$93*J21+'ENTRADAS PMO'!$C$99*J22+'ENTRADAS PMO'!$C$104*J23+'ENTRADAS PMO'!$C$106*J24))</f>
        <v>34100.8</v>
      </c>
      <c r="K61" s="18" t="n">
        <f aca="false">J61+(('ENTRADAS PMO'!$C$18*K10+'ENTRADAS PMO'!$C$24*K11+'ENTRADAS PMO'!$C$33*K12+'ENTRADAS PMO'!$C$36*K13)-('ENTRADAS PMO'!$C$44*K17+'ENTRADAS PMO'!$C$58*K18+'ENTRADAS PMO'!$C$72*K19+'ENTRADAS PMO'!$C$84*K20+'ENTRADAS PMO'!$C$93*K21+'ENTRADAS PMO'!$C$99*K22+'ENTRADAS PMO'!$C$104*K23+'ENTRADAS PMO'!$C$106*K24))</f>
        <v>17046.53916</v>
      </c>
      <c r="L61" s="18" t="n">
        <f aca="false">K61+(('ENTRADAS PMO'!$C$18*L10+'ENTRADAS PMO'!$C$24*L11+'ENTRADAS PMO'!$C$33*L12+'ENTRADAS PMO'!$C$36*L13)-('ENTRADAS PMO'!$C$44*L17+'ENTRADAS PMO'!$C$58*L18+'ENTRADAS PMO'!$C$72*L19+'ENTRADAS PMO'!$C$84*L20+'ENTRADAS PMO'!$C$93*L21+'ENTRADAS PMO'!$C$99*L22+'ENTRADAS PMO'!$C$104*L23+'ENTRADAS PMO'!$C$106*L24))</f>
        <v>-79021.9081</v>
      </c>
      <c r="M61" s="18" t="n">
        <f aca="false">L61+(('ENTRADAS PMO'!$C$18*M10+'ENTRADAS PMO'!$C$24*M11+'ENTRADAS PMO'!$C$33*M12+'ENTRADAS PMO'!$C$36*M13)-('ENTRADAS PMO'!$C$44*M17+'ENTRADAS PMO'!$C$58*M18+'ENTRADAS PMO'!$C$72*M19+'ENTRADAS PMO'!$C$84*M20+'ENTRADAS PMO'!$C$93*M21+'ENTRADAS PMO'!$C$99*M22+'ENTRADAS PMO'!$C$104*M23+'ENTRADAS PMO'!$C$106*M24))</f>
        <v>-207591.8042</v>
      </c>
    </row>
    <row r="62" customFormat="false" ht="15" hidden="false" customHeight="false" outlineLevel="0" collapsed="false">
      <c r="A62" s="6" t="s">
        <v>373</v>
      </c>
      <c r="B62" s="18" t="n">
        <f aca="false">MAX(0,-MIN(B61:M61))</f>
        <v>207591.8042</v>
      </c>
    </row>
    <row r="64" customFormat="false" ht="15" hidden="false" customHeight="false" outlineLevel="0" collapsed="false">
      <c r="A64" s="11" t="s">
        <v>374</v>
      </c>
      <c r="B64" s="18" t="n">
        <f aca="false">'FLUXO DE CAIXA'!$B$5+(('ENTRADAS PMO'!$D$18*B10+'ENTRADAS PMO'!$D$24*B11+'ENTRADAS PMO'!$D$33*B12+'ENTRADAS PMO'!$D$36*B13)-('ENTRADAS PMO'!$D$44*B17+'ENTRADAS PMO'!$D$58*B18+'ENTRADAS PMO'!$D$72*B19+'ENTRADAS PMO'!$D$84*B20+'ENTRADAS PMO'!$D$93*B21+'ENTRADAS PMO'!$D$99*B22+'ENTRADAS PMO'!$D$104*B23+'ENTRADAS PMO'!$D$106*B24))</f>
        <v>4120</v>
      </c>
      <c r="C64" s="18" t="n">
        <f aca="false">B64+(('ENTRADAS PMO'!$D$18*C10+'ENTRADAS PMO'!$D$24*C11+'ENTRADAS PMO'!$D$33*C12+'ENTRADAS PMO'!$D$36*C13)-('ENTRADAS PMO'!$D$44*C17+'ENTRADAS PMO'!$D$58*C18+'ENTRADAS PMO'!$D$72*C19+'ENTRADAS PMO'!$D$84*C20+'ENTRADAS PMO'!$D$93*C21+'ENTRADAS PMO'!$D$99*C22+'ENTRADAS PMO'!$D$104*C23+'ENTRADAS PMO'!$D$106*C24))</f>
        <v>-12483.96</v>
      </c>
      <c r="D64" s="18" t="n">
        <f aca="false">C64+(('ENTRADAS PMO'!$D$18*D10+'ENTRADAS PMO'!$D$24*D11+'ENTRADAS PMO'!$D$33*D12+'ENTRADAS PMO'!$D$36*D13)-('ENTRADAS PMO'!$D$44*D17+'ENTRADAS PMO'!$D$58*D18+'ENTRADAS PMO'!$D$72*D19+'ENTRADAS PMO'!$D$84*D20+'ENTRADAS PMO'!$D$93*D21+'ENTRADAS PMO'!$D$99*D22+'ENTRADAS PMO'!$D$104*D23+'ENTRADAS PMO'!$D$106*D24))</f>
        <v>32188.12</v>
      </c>
      <c r="E64" s="18" t="n">
        <f aca="false">D64+(('ENTRADAS PMO'!$D$18*E10+'ENTRADAS PMO'!$D$24*E11+'ENTRADAS PMO'!$D$33*E12+'ENTRADAS PMO'!$D$36*E13)-('ENTRADAS PMO'!$D$44*E17+'ENTRADAS PMO'!$D$58*E18+'ENTRADAS PMO'!$D$72*E19+'ENTRADAS PMO'!$D$84*E20+'ENTRADAS PMO'!$D$93*E21+'ENTRADAS PMO'!$D$99*E22+'ENTRADAS PMO'!$D$104*E23+'ENTRADAS PMO'!$D$106*E24))</f>
        <v>76860.2</v>
      </c>
      <c r="F64" s="18" t="n">
        <f aca="false">E64+(('ENTRADAS PMO'!$D$18*F10+'ENTRADAS PMO'!$D$24*F11+'ENTRADAS PMO'!$D$33*F12+'ENTRADAS PMO'!$D$36*F13)-('ENTRADAS PMO'!$D$44*F17+'ENTRADAS PMO'!$D$58*F18+'ENTRADAS PMO'!$D$72*F19+'ENTRADAS PMO'!$D$84*F20+'ENTRADAS PMO'!$D$93*F21+'ENTRADAS PMO'!$D$99*F22+'ENTRADAS PMO'!$D$104*F23+'ENTRADAS PMO'!$D$106*F24))</f>
        <v>113372.28</v>
      </c>
      <c r="G64" s="18" t="n">
        <f aca="false">F64+(('ENTRADAS PMO'!$D$18*G10+'ENTRADAS PMO'!$D$24*G11+'ENTRADAS PMO'!$D$33*G12+'ENTRADAS PMO'!$D$36*G13)-('ENTRADAS PMO'!$D$44*G17+'ENTRADAS PMO'!$D$58*G18+'ENTRADAS PMO'!$D$72*G19+'ENTRADAS PMO'!$D$84*G20+'ENTRADAS PMO'!$D$93*G21+'ENTRADAS PMO'!$D$99*G22+'ENTRADAS PMO'!$D$104*G23+'ENTRADAS PMO'!$D$106*G24))</f>
        <v>129608.32</v>
      </c>
      <c r="H64" s="18" t="n">
        <f aca="false">G64+(('ENTRADAS PMO'!$D$18*H10+'ENTRADAS PMO'!$D$24*H11+'ENTRADAS PMO'!$D$33*H12+'ENTRADAS PMO'!$D$36*H13)-('ENTRADAS PMO'!$D$44*H17+'ENTRADAS PMO'!$D$58*H18+'ENTRADAS PMO'!$D$72*H19+'ENTRADAS PMO'!$D$84*H20+'ENTRADAS PMO'!$D$93*H21+'ENTRADAS PMO'!$D$99*H22+'ENTRADAS PMO'!$D$104*H23+'ENTRADAS PMO'!$D$106*H24))</f>
        <v>145844.36</v>
      </c>
      <c r="I64" s="18" t="n">
        <f aca="false">H64+(('ENTRADAS PMO'!$D$18*I10+'ENTRADAS PMO'!$D$24*I11+'ENTRADAS PMO'!$D$33*I12+'ENTRADAS PMO'!$D$36*I13)-('ENTRADAS PMO'!$D$44*I17+'ENTRADAS PMO'!$D$58*I18+'ENTRADAS PMO'!$D$72*I19+'ENTRADAS PMO'!$D$84*I20+'ENTRADAS PMO'!$D$93*I21+'ENTRADAS PMO'!$D$99*I22+'ENTRADAS PMO'!$D$104*I23+'ENTRADAS PMO'!$D$106*I24))</f>
        <v>162080.4</v>
      </c>
      <c r="J64" s="18" t="n">
        <f aca="false">I64+(('ENTRADAS PMO'!$D$18*J10+'ENTRADAS PMO'!$D$24*J11+'ENTRADAS PMO'!$D$33*J12+'ENTRADAS PMO'!$D$36*J13)-('ENTRADAS PMO'!$D$44*J17+'ENTRADAS PMO'!$D$58*J18+'ENTRADAS PMO'!$D$72*J19+'ENTRADAS PMO'!$D$84*J20+'ENTRADAS PMO'!$D$93*J21+'ENTRADAS PMO'!$D$99*J22+'ENTRADAS PMO'!$D$104*J23+'ENTRADAS PMO'!$D$106*J24))</f>
        <v>184092.48</v>
      </c>
      <c r="K64" s="18" t="n">
        <f aca="false">J64+(('ENTRADAS PMO'!$D$18*K10+'ENTRADAS PMO'!$D$24*K11+'ENTRADAS PMO'!$D$33*K12+'ENTRADAS PMO'!$D$36*K13)-('ENTRADAS PMO'!$D$44*K17+'ENTRADAS PMO'!$D$58*K18+'ENTRADAS PMO'!$D$72*K19+'ENTRADAS PMO'!$D$84*K20+'ENTRADAS PMO'!$D$93*K21+'ENTRADAS PMO'!$D$99*K22+'ENTRADAS PMO'!$D$104*K23+'ENTRADAS PMO'!$D$106*K24))</f>
        <v>191131.5138</v>
      </c>
      <c r="L64" s="18" t="n">
        <f aca="false">K64+(('ENTRADAS PMO'!$D$18*L10+'ENTRADAS PMO'!$D$24*L11+'ENTRADAS PMO'!$D$33*L12+'ENTRADAS PMO'!$D$36*L13)-('ENTRADAS PMO'!$D$44*L17+'ENTRADAS PMO'!$D$58*L18+'ENTRADAS PMO'!$D$72*L19+'ENTRADAS PMO'!$D$84*L20+'ENTRADAS PMO'!$D$93*L21+'ENTRADAS PMO'!$D$99*L22+'ENTRADAS PMO'!$D$104*L23+'ENTRADAS PMO'!$D$106*L24))</f>
        <v>102385.872</v>
      </c>
      <c r="M64" s="18" t="n">
        <f aca="false">L64+(('ENTRADAS PMO'!$D$18*M10+'ENTRADAS PMO'!$D$24*M11+'ENTRADAS PMO'!$D$33*M12+'ENTRADAS PMO'!$D$36*M13)-('ENTRADAS PMO'!$D$44*M17+'ENTRADAS PMO'!$D$58*M18+'ENTRADAS PMO'!$D$72*M19+'ENTRADAS PMO'!$D$84*M20+'ENTRADAS PMO'!$D$93*M21+'ENTRADAS PMO'!$D$99*M22+'ENTRADAS PMO'!$D$104*M23+'ENTRADAS PMO'!$D$106*M24))</f>
        <v>15231.069</v>
      </c>
    </row>
    <row r="65" customFormat="false" ht="15" hidden="false" customHeight="false" outlineLevel="0" collapsed="false">
      <c r="A65" s="6" t="s">
        <v>375</v>
      </c>
      <c r="B65" s="18" t="n">
        <f aca="false">MAX(0,-MIN(B64:M64))</f>
        <v>12483.96</v>
      </c>
    </row>
    <row r="67" customFormat="false" ht="15" hidden="false" customHeight="false" outlineLevel="0" collapsed="false">
      <c r="A67" s="11" t="s">
        <v>376</v>
      </c>
      <c r="B67" s="18" t="n">
        <f aca="false">'FLUXO DE CAIXA'!$B$5+(('ENTRADAS PMO'!$E$18*B10+'ENTRADAS PMO'!$E$24*B11+'ENTRADAS PMO'!$E$33*B12+'ENTRADAS PMO'!$E$36*B13)-('ENTRADAS PMO'!$E$44*B17+'ENTRADAS PMO'!$E$58*B18+'ENTRADAS PMO'!$E$72*B19+'ENTRADAS PMO'!$E$84*B20+'ENTRADAS PMO'!$E$93*B21+'ENTRADAS PMO'!$E$99*B22+'ENTRADAS PMO'!$E$104*B23+'ENTRADAS PMO'!$E$106*B24))</f>
        <v>10220</v>
      </c>
      <c r="C67" s="18" t="n">
        <f aca="false">B67+(('ENTRADAS PMO'!$E$18*C10+'ENTRADAS PMO'!$E$24*C11+'ENTRADAS PMO'!$E$33*C12+'ENTRADAS PMO'!$E$36*C13)-('ENTRADAS PMO'!$E$44*C17+'ENTRADAS PMO'!$E$58*C18+'ENTRADAS PMO'!$E$72*C19+'ENTRADAS PMO'!$E$84*C20+'ENTRADAS PMO'!$E$93*C21+'ENTRADAS PMO'!$E$99*C22+'ENTRADAS PMO'!$E$104*C23+'ENTRADAS PMO'!$E$106*C24))</f>
        <v>2398.5</v>
      </c>
      <c r="D67" s="18" t="n">
        <f aca="false">C67+(('ENTRADAS PMO'!$E$18*D10+'ENTRADAS PMO'!$E$24*D11+'ENTRADAS PMO'!$E$33*D12+'ENTRADAS PMO'!$E$36*D13)-('ENTRADAS PMO'!$E$44*D17+'ENTRADAS PMO'!$E$58*D18+'ENTRADAS PMO'!$E$72*D19+'ENTRADAS PMO'!$E$84*D20+'ENTRADAS PMO'!$E$93*D21+'ENTRADAS PMO'!$E$99*D22+'ENTRADAS PMO'!$E$104*D23+'ENTRADAS PMO'!$E$106*D24))</f>
        <v>70535.5</v>
      </c>
      <c r="E67" s="18" t="n">
        <f aca="false">D67+(('ENTRADAS PMO'!$E$18*E10+'ENTRADAS PMO'!$E$24*E11+'ENTRADAS PMO'!$E$33*E12+'ENTRADAS PMO'!$E$36*E13)-('ENTRADAS PMO'!$E$44*E17+'ENTRADAS PMO'!$E$58*E18+'ENTRADAS PMO'!$E$72*E19+'ENTRADAS PMO'!$E$84*E20+'ENTRADAS PMO'!$E$93*E21+'ENTRADAS PMO'!$E$99*E22+'ENTRADAS PMO'!$E$104*E23+'ENTRADAS PMO'!$E$106*E24))</f>
        <v>138672.5</v>
      </c>
      <c r="F67" s="18" t="n">
        <f aca="false">E67+(('ENTRADAS PMO'!$E$18*F10+'ENTRADAS PMO'!$E$24*F11+'ENTRADAS PMO'!$E$33*F12+'ENTRADAS PMO'!$E$36*F13)-('ENTRADAS PMO'!$E$44*F17+'ENTRADAS PMO'!$E$58*F18+'ENTRADAS PMO'!$E$72*F19+'ENTRADAS PMO'!$E$84*F20+'ENTRADAS PMO'!$E$93*F21+'ENTRADAS PMO'!$E$99*F22+'ENTRADAS PMO'!$E$104*F23+'ENTRADAS PMO'!$E$106*F24))</f>
        <v>191639.5</v>
      </c>
      <c r="G67" s="18" t="n">
        <f aca="false">F67+(('ENTRADAS PMO'!$E$18*G10+'ENTRADAS PMO'!$E$24*G11+'ENTRADAS PMO'!$E$33*G12+'ENTRADAS PMO'!$E$36*G13)-('ENTRADAS PMO'!$E$44*G17+'ENTRADAS PMO'!$E$58*G18+'ENTRADAS PMO'!$E$72*G19+'ENTRADAS PMO'!$E$84*G20+'ENTRADAS PMO'!$E$93*G21+'ENTRADAS PMO'!$E$99*G22+'ENTRADAS PMO'!$E$104*G23+'ENTRADAS PMO'!$E$106*G24))</f>
        <v>215648</v>
      </c>
      <c r="H67" s="18" t="n">
        <f aca="false">G67+(('ENTRADAS PMO'!$E$18*H10+'ENTRADAS PMO'!$E$24*H11+'ENTRADAS PMO'!$E$33*H12+'ENTRADAS PMO'!$E$36*H13)-('ENTRADAS PMO'!$E$44*H17+'ENTRADAS PMO'!$E$58*H18+'ENTRADAS PMO'!$E$72*H19+'ENTRADAS PMO'!$E$84*H20+'ENTRADAS PMO'!$E$93*H21+'ENTRADAS PMO'!$E$99*H22+'ENTRADAS PMO'!$E$104*H23+'ENTRADAS PMO'!$E$106*H24))</f>
        <v>239656.5</v>
      </c>
      <c r="I67" s="18" t="n">
        <f aca="false">H67+(('ENTRADAS PMO'!$E$18*I10+'ENTRADAS PMO'!$E$24*I11+'ENTRADAS PMO'!$E$33*I12+'ENTRADAS PMO'!$E$36*I13)-('ENTRADAS PMO'!$E$44*I17+'ENTRADAS PMO'!$E$58*I18+'ENTRADAS PMO'!$E$72*I19+'ENTRADAS PMO'!$E$84*I20+'ENTRADAS PMO'!$E$93*I21+'ENTRADAS PMO'!$E$99*I22+'ENTRADAS PMO'!$E$104*I23+'ENTRADAS PMO'!$E$106*I24))</f>
        <v>263665</v>
      </c>
      <c r="J67" s="18" t="n">
        <f aca="false">I67+(('ENTRADAS PMO'!$E$18*J10+'ENTRADAS PMO'!$E$24*J11+'ENTRADAS PMO'!$E$33*J12+'ENTRADAS PMO'!$E$36*J13)-('ENTRADAS PMO'!$E$44*J17+'ENTRADAS PMO'!$E$58*J18+'ENTRADAS PMO'!$E$72*J19+'ENTRADAS PMO'!$E$84*J20+'ENTRADAS PMO'!$E$93*J21+'ENTRADAS PMO'!$E$99*J22+'ENTRADAS PMO'!$E$104*J23+'ENTRADAS PMO'!$E$106*J24))</f>
        <v>298632</v>
      </c>
      <c r="K67" s="18" t="n">
        <f aca="false">J67+(('ENTRADAS PMO'!$E$18*K10+'ENTRADAS PMO'!$E$24*K11+'ENTRADAS PMO'!$E$33*K12+'ENTRADAS PMO'!$E$36*K13)-('ENTRADAS PMO'!$E$44*K17+'ENTRADAS PMO'!$E$58*K18+'ENTRADAS PMO'!$E$72*K19+'ENTRADAS PMO'!$E$84*K20+'ENTRADAS PMO'!$E$93*K21+'ENTRADAS PMO'!$E$99*K22+'ENTRADAS PMO'!$E$104*K23+'ENTRADAS PMO'!$E$106*K24))</f>
        <v>313528.966</v>
      </c>
      <c r="L67" s="18" t="n">
        <f aca="false">K67+(('ENTRADAS PMO'!$E$18*L10+'ENTRADAS PMO'!$E$24*L11+'ENTRADAS PMO'!$E$33*L12+'ENTRADAS PMO'!$E$36*L13)-('ENTRADAS PMO'!$E$44*L17+'ENTRADAS PMO'!$E$58*L18+'ENTRADAS PMO'!$E$72*L19+'ENTRADAS PMO'!$E$84*L20+'ENTRADAS PMO'!$E$93*L21+'ENTRADAS PMO'!$E$99*L22+'ENTRADAS PMO'!$E$104*L23+'ENTRADAS PMO'!$E$106*L24))</f>
        <v>211038.695</v>
      </c>
      <c r="M67" s="18" t="n">
        <f aca="false">L67+(('ENTRADAS PMO'!$E$18*M10+'ENTRADAS PMO'!$E$24*M11+'ENTRADAS PMO'!$E$33*M12+'ENTRADAS PMO'!$E$36*M13)-('ENTRADAS PMO'!$E$44*M17+'ENTRADAS PMO'!$E$58*M18+'ENTRADAS PMO'!$E$72*M19+'ENTRADAS PMO'!$E$84*M20+'ENTRADAS PMO'!$E$93*M21+'ENTRADAS PMO'!$E$99*M22+'ENTRADAS PMO'!$E$104*M23+'ENTRADAS PMO'!$E$106*M24))</f>
        <v>118377.33</v>
      </c>
    </row>
    <row r="68" customFormat="false" ht="15" hidden="false" customHeight="false" outlineLevel="0" collapsed="false">
      <c r="A68" s="6" t="s">
        <v>377</v>
      </c>
      <c r="B68" s="18" t="n">
        <f aca="false">MAX(0,-MIN(B67:M67))</f>
        <v>0</v>
      </c>
    </row>
  </sheetData>
  <sheetProtection sheet="true" formatCells="false" formatColumns="false" formatRows="false" sort="false" autoFilter="false"/>
  <mergeCells count="1">
    <mergeCell ref="B47:H47"/>
  </mergeCells>
  <conditionalFormatting sqref="B47">
    <cfRule type="expression" priority="2" aboveAverage="0" equalAverage="0" bottom="0" percent="0" rank="0" text="" dxfId="2">
      <formula>ISNUMBER(SEARCH("RISCO",B47))</formula>
    </cfRule>
    <cfRule type="expression" priority="3" aboveAverage="0" equalAverage="0" bottom="0" percent="0" rank="0" text="" dxfId="0">
      <formula>ISNUMBER(SEARCH("OK",B47))</formula>
    </cfRule>
  </conditionalFormatting>
  <dataValidations count="1">
    <dataValidation allowBlank="false" errorStyle="stop" operator="between" showDropDown="false" showErrorMessage="false" showInputMessage="false" sqref="B4" type="list">
      <formula1>"Conservador,Base,Agressivo"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</cols>
  <sheetData>
    <row r="1" customFormat="false" ht="18.55" hidden="false" customHeight="false" outlineLevel="0" collapsed="false">
      <c r="A1" s="21" t="s">
        <v>378</v>
      </c>
    </row>
    <row r="2" customFormat="false" ht="15" hidden="false" customHeight="false" outlineLevel="0" collapsed="false">
      <c r="A2" s="2" t="s">
        <v>379</v>
      </c>
    </row>
    <row r="4" customFormat="false" ht="15" hidden="false" customHeight="false" outlineLevel="0" collapsed="false">
      <c r="A4" s="22" t="s">
        <v>380</v>
      </c>
      <c r="B4" s="22" t="s">
        <v>67</v>
      </c>
      <c r="C4" s="22" t="s">
        <v>68</v>
      </c>
      <c r="D4" s="22" t="s">
        <v>69</v>
      </c>
    </row>
    <row r="5" customFormat="false" ht="15" hidden="false" customHeight="false" outlineLevel="0" collapsed="false">
      <c r="A5" s="6" t="s">
        <v>381</v>
      </c>
      <c r="B5" s="9" t="n">
        <f aca="false">Cenarios!$Q$10</f>
        <v>4204.17980782725</v>
      </c>
      <c r="C5" s="9" t="n">
        <f aca="false">Cenarios!$Q$11</f>
        <v>3725.05017725358</v>
      </c>
      <c r="D5" s="9" t="n">
        <f aca="false">Cenarios!$Q$12</f>
        <v>4163.66004004444</v>
      </c>
    </row>
    <row r="6" customFormat="false" ht="15" hidden="false" customHeight="false" outlineLevel="0" collapsed="false">
      <c r="A6" s="6" t="s">
        <v>382</v>
      </c>
      <c r="B6" s="9" t="n">
        <f aca="false">Cenarios!$R$10</f>
        <v>3705.37326750566</v>
      </c>
      <c r="C6" s="9" t="n">
        <f aca="false">Cenarios!$R$11</f>
        <v>2730.75443230095</v>
      </c>
      <c r="D6" s="9" t="n">
        <f aca="false">Cenarios!$R$12</f>
        <v>2286.87192838295</v>
      </c>
    </row>
    <row r="7" customFormat="false" ht="15" hidden="false" customHeight="false" outlineLevel="0" collapsed="false">
      <c r="A7" s="6" t="s">
        <v>383</v>
      </c>
      <c r="B7" s="9" t="n">
        <f aca="false">Cenarios!$R$10</f>
        <v>3705.37326750566</v>
      </c>
      <c r="C7" s="9" t="n">
        <f aca="false">Cenarios!$R$11</f>
        <v>2730.75443230095</v>
      </c>
      <c r="D7" s="9" t="n">
        <f aca="false">Cenarios!$R$12</f>
        <v>2286.87192838295</v>
      </c>
    </row>
    <row r="8" customFormat="false" ht="15" hidden="false" customHeight="false" outlineLevel="0" collapsed="false">
      <c r="A8" s="6" t="s">
        <v>384</v>
      </c>
      <c r="B8" s="8" t="n">
        <f aca="false">Cenarios!$S$10</f>
        <v>1.68426057613893</v>
      </c>
      <c r="C8" s="8" t="n">
        <f aca="false">Cenarios!$S$11</f>
        <v>0.910251477433648</v>
      </c>
      <c r="D8" s="8" t="n">
        <f aca="false">Cenarios!$S$12</f>
        <v>0.653391979537985</v>
      </c>
    </row>
    <row r="9" customFormat="false" ht="15" hidden="false" customHeight="false" outlineLevel="0" collapsed="false">
      <c r="A9" s="6" t="s">
        <v>385</v>
      </c>
      <c r="B9" s="7" t="n">
        <f aca="false">Cenarios!$K$10</f>
        <v>403049.8042</v>
      </c>
      <c r="C9" s="7" t="n">
        <f aca="false">Cenarios!$K$11</f>
        <v>475795.431</v>
      </c>
      <c r="D9" s="7" t="n">
        <f aca="false">Cenarios!$K$12</f>
        <v>571042.67</v>
      </c>
    </row>
    <row r="10" customFormat="false" ht="15" hidden="false" customHeight="false" outlineLevel="0" collapsed="false">
      <c r="A10" s="6" t="s">
        <v>386</v>
      </c>
      <c r="B10" s="7" t="n">
        <f aca="false">Cenarios!$U$10</f>
        <v>160000</v>
      </c>
      <c r="C10" s="7" t="n">
        <f aca="false">Cenarios!$U$11</f>
        <v>180000</v>
      </c>
      <c r="D10" s="7" t="n">
        <f aca="false">Cenarios!$U$12</f>
        <v>200000</v>
      </c>
    </row>
    <row r="11" customFormat="false" ht="15" hidden="false" customHeight="false" outlineLevel="0" collapsed="false">
      <c r="A11" s="6" t="s">
        <v>387</v>
      </c>
      <c r="B11" s="8" t="n">
        <f aca="false">Cenarios!$T$10</f>
        <v>-1.40608653734134</v>
      </c>
      <c r="C11" s="8" t="n">
        <f aca="false">Cenarios!$T$11</f>
        <v>0.0418405500698438</v>
      </c>
      <c r="D11" s="8" t="n">
        <f aca="false">Cenarios!$T$12</f>
        <v>0.274008911624462</v>
      </c>
    </row>
    <row r="12" customFormat="false" ht="15" hidden="false" customHeight="false" outlineLevel="0" collapsed="false">
      <c r="A12" s="6" t="s">
        <v>388</v>
      </c>
      <c r="B12" s="29" t="n">
        <f aca="false">(Cenarios!$K$10-'ENTRADAS PMO'!$C$24-'ENTRADAS PMO'!$C$33-'ENTRADAS PMO'!$C$36)/Cenarios!$B$10/(1-'ENTRADAS PMO'!$C$13-'ENTRADAS PMO'!$C$14-'ENTRADAS PMO'!$C$15)</f>
        <v>226.813808723885</v>
      </c>
      <c r="C12" s="29" t="n">
        <f aca="false">(Cenarios!$K$11-'ENTRADAS PMO'!$D$24-'ENTRADAS PMO'!$D$33-'ENTRADAS PMO'!$D$36)/Cenarios!$B$11/(1-'ENTRADAS PMO'!$D$13-'ENTRADAS PMO'!$D$14-'ENTRADAS PMO'!$D$15)</f>
        <v>100.415610602593</v>
      </c>
      <c r="D12" s="29" t="n">
        <f aca="false">(Cenarios!$K$12-'ENTRADAS PMO'!$E$24-'ENTRADAS PMO'!$E$33-'ENTRADAS PMO'!$E$36)/Cenarios!$B$12/(1-'ENTRADAS PMO'!$E$13-'ENTRADAS PMO'!$E$14-'ENTRADAS PMO'!$E$15)</f>
        <v>70.1838060731539</v>
      </c>
    </row>
    <row r="14" customFormat="false" ht="15" hidden="false" customHeight="false" outlineLevel="0" collapsed="false">
      <c r="A14" s="13" t="s">
        <v>389</v>
      </c>
      <c r="B14" s="14"/>
      <c r="C14" s="14"/>
      <c r="D14" s="14"/>
    </row>
    <row r="15" customFormat="false" ht="15" hidden="false" customHeight="false" outlineLevel="0" collapsed="false">
      <c r="A15" s="11" t="s">
        <v>390</v>
      </c>
      <c r="B15" s="42" t="s">
        <v>305</v>
      </c>
    </row>
    <row r="16" customFormat="false" ht="15" hidden="false" customHeight="false" outlineLevel="0" collapsed="false">
      <c r="B16" s="20" t="str">
        <f aca="false">IF('BREAK-EVEN'!$B$15="Conservador","C",IF('BREAK-EVEN'!$B$15="Base","D","E"))</f>
        <v>D</v>
      </c>
    </row>
    <row r="18" customFormat="false" ht="15" hidden="false" customHeight="false" outlineLevel="0" collapsed="false">
      <c r="A18" s="11" t="s">
        <v>391</v>
      </c>
    </row>
    <row r="19" customFormat="false" ht="15" hidden="false" customHeight="false" outlineLevel="0" collapsed="false">
      <c r="A19" s="6" t="s">
        <v>392</v>
      </c>
      <c r="B19" s="31" t="n">
        <v>100000</v>
      </c>
    </row>
    <row r="20" customFormat="false" ht="15" hidden="false" customHeight="false" outlineLevel="0" collapsed="false">
      <c r="A20" s="11" t="s">
        <v>393</v>
      </c>
      <c r="B20" s="26" t="n">
        <f aca="true">MAX(0,(INDIRECT("'ENTRADAS PMO'!"&amp;'BREAK-EVEN'!$B$16&amp;"107")-'BREAK-EVEN'!$B$19-INDIRECT("'ENTRADAS PMO'!"&amp;'BREAK-EVEN'!$B$16&amp;"36"))/(INDIRECT("'ENTRADAS PMO'!"&amp;'BREAK-EVEN'!$B$16&amp;"16")*(1-INDIRECT("'ENTRADAS PMO'!"&amp;'BREAK-EVEN'!$B$16&amp;"13")-INDIRECT("'ENTRADAS PMO'!"&amp;'BREAK-EVEN'!$B$16&amp;"14")-INDIRECT("'ENTRADAS PMO'!"&amp;'BREAK-EVEN'!$B$16&amp;"15"))+INDIRECT("'ENTRADAS PMO'!"&amp;'BREAK-EVEN'!$B$16&amp;"30")))</f>
        <v>2942.1401418578</v>
      </c>
    </row>
    <row r="22" customFormat="false" ht="15" hidden="false" customHeight="false" outlineLevel="0" collapsed="false">
      <c r="A22" s="11" t="s">
        <v>394</v>
      </c>
    </row>
    <row r="23" customFormat="false" ht="15" hidden="false" customHeight="false" outlineLevel="0" collapsed="false">
      <c r="A23" s="6" t="s">
        <v>395</v>
      </c>
      <c r="B23" s="25" t="n">
        <v>2500</v>
      </c>
    </row>
    <row r="24" customFormat="false" ht="15" hidden="false" customHeight="false" outlineLevel="0" collapsed="false">
      <c r="A24" s="11" t="s">
        <v>396</v>
      </c>
      <c r="B24" s="18" t="n">
        <f aca="true">MAX(0,INDIRECT("'ENTRADAS PMO'!"&amp;'BREAK-EVEN'!$B$16&amp;"107")-'BREAK-EVEN'!$B$23*(INDIRECT("'ENTRADAS PMO'!"&amp;'BREAK-EVEN'!$B$16&amp;"16")*(1-INDIRECT("'ENTRADAS PMO'!"&amp;'BREAK-EVEN'!$B$16&amp;"13")-INDIRECT("'ENTRADAS PMO'!"&amp;'BREAK-EVEN'!$B$16&amp;"14")-INDIRECT("'ENTRADAS PMO'!"&amp;'BREAK-EVEN'!$B$16&amp;"15"))+INDIRECT("'ENTRADAS PMO'!"&amp;'BREAK-EVEN'!$B$16&amp;"30"))-INDIRECT("'ENTRADAS PMO'!"&amp;'BREAK-EVEN'!$B$16&amp;"36"))</f>
        <v>156473.93977193</v>
      </c>
    </row>
    <row r="26" customFormat="false" ht="15" hidden="false" customHeight="false" outlineLevel="0" collapsed="false">
      <c r="A26" s="11" t="s">
        <v>397</v>
      </c>
    </row>
    <row r="27" customFormat="false" ht="15" hidden="false" customHeight="false" outlineLevel="0" collapsed="false">
      <c r="A27" s="6" t="s">
        <v>398</v>
      </c>
      <c r="B27" s="31" t="n">
        <v>220000</v>
      </c>
    </row>
    <row r="28" customFormat="false" ht="15" hidden="false" customHeight="false" outlineLevel="0" collapsed="false">
      <c r="A28" s="11" t="s">
        <v>399</v>
      </c>
      <c r="B28" s="18" t="n">
        <f aca="true">(((INDIRECT("'ENTRADAS PMO'!"&amp;'BREAK-EVEN'!$B$16&amp;"103")-INDIRECT("'ENTRADAS PMO'!"&amp;'BREAK-EVEN'!$B$16&amp;"39")+'BREAK-EVEN'!$B$27)+INDIRECT("'ENTRADAS PMO'!"&amp;'BREAK-EVEN'!$B$16&amp;"104"))*(1+INDIRECT("'ENTRADAS PMO'!"&amp;'BREAK-EVEN'!$B$16&amp;"100")))</f>
        <v>518995.431</v>
      </c>
    </row>
    <row r="29" customFormat="false" ht="15" hidden="false" customHeight="false" outlineLevel="0" collapsed="false">
      <c r="A29" s="11" t="s">
        <v>400</v>
      </c>
      <c r="B29" s="26" t="n">
        <f aca="true">MAX(0,((((INDIRECT("'ENTRADAS PMO'!"&amp;'BREAK-EVEN'!$B$16&amp;"103")-INDIRECT("'ENTRADAS PMO'!"&amp;'BREAK-EVEN'!$B$16&amp;"39")+'BREAK-EVEN'!$B$27)+INDIRECT("'ENTRADAS PMO'!"&amp;'BREAK-EVEN'!$B$16&amp;"104"))*(1+INDIRECT("'ENTRADAS PMO'!"&amp;'BREAK-EVEN'!$B$16&amp;"100")))-INDIRECT("'ENTRADAS PMO'!"&amp;'BREAK-EVEN'!$B$16&amp;"24")-INDIRECT("'ENTRADAS PMO'!"&amp;'BREAK-EVEN'!$B$16&amp;"36"))/(INDIRECT("'ENTRADAS PMO'!"&amp;'BREAK-EVEN'!$B$16&amp;"16")*(1-INDIRECT("'ENTRADAS PMO'!"&amp;'BREAK-EVEN'!$B$16&amp;"13")-INDIRECT("'ENTRADAS PMO'!"&amp;'BREAK-EVEN'!$B$16&amp;"14")-INDIRECT("'ENTRADAS PMO'!"&amp;'BREAK-EVEN'!$B$16&amp;"15"))+INDIRECT("'ENTRADAS PMO'!"&amp;'BREAK-EVEN'!$B$16&amp;"30")))</f>
        <v>3068.97156759192</v>
      </c>
    </row>
    <row r="31" customFormat="false" ht="15" hidden="false" customHeight="false" outlineLevel="0" collapsed="false">
      <c r="A31" s="11" t="s">
        <v>401</v>
      </c>
    </row>
    <row r="32" customFormat="false" ht="15" hidden="false" customHeight="false" outlineLevel="0" collapsed="false">
      <c r="A32" s="6" t="s">
        <v>402</v>
      </c>
      <c r="B32" s="28" t="n">
        <v>0.1</v>
      </c>
    </row>
    <row r="33" customFormat="false" ht="15" hidden="false" customHeight="false" outlineLevel="0" collapsed="false">
      <c r="A33" s="11" t="s">
        <v>403</v>
      </c>
      <c r="B33" s="29" t="n">
        <f aca="true">IFERROR((INDIRECT("'ENTRADAS PMO'!"&amp;'BREAK-EVEN'!$B$16&amp;"107")/(1-'BREAK-EVEN'!$B$32)-INDIRECT("'ENTRADAS PMO'!"&amp;'BREAK-EVEN'!$B$16&amp;"24")-INDIRECT("'ENTRADAS PMO'!"&amp;'BREAK-EVEN'!$B$16&amp;"33")-INDIRECT("'ENTRADAS PMO'!"&amp;'BREAK-EVEN'!$B$16&amp;"36"))/INDIRECT("'ENTRADAS PMO'!"&amp;'BREAK-EVEN'!$B$16&amp;"8")/(1-INDIRECT("'ENTRADAS PMO'!"&amp;'BREAK-EVEN'!$B$16&amp;"13")-INDIRECT("'ENTRADAS PMO'!"&amp;'BREAK-EVEN'!$B$16&amp;"14")-INDIRECT("'ENTRADAS PMO'!"&amp;'BREAK-EVEN'!$B$16&amp;"15")),0)</f>
        <v>120.578142639207</v>
      </c>
    </row>
  </sheetData>
  <sheetProtection sheet="true" formatCells="false" formatColumns="false" formatRows="false" sort="false" autoFilter="false"/>
  <dataValidations count="1">
    <dataValidation allowBlank="false" errorStyle="stop" operator="between" showDropDown="false" showErrorMessage="false" showInputMessage="false" sqref="B15" type="list">
      <formula1>"Conservador,Base,Agressivo"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  <col collapsed="false" customWidth="true" hidden="false" outlineLevel="0" max="8" min="8" style="0" width="4"/>
    <col collapsed="false" customWidth="true" hidden="false" outlineLevel="0" max="11" min="9" style="0" width="16"/>
  </cols>
  <sheetData>
    <row r="1" customFormat="false" ht="18.55" hidden="false" customHeight="false" outlineLevel="0" collapsed="false">
      <c r="A1" s="21" t="s">
        <v>404</v>
      </c>
    </row>
    <row r="2" customFormat="false" ht="15" hidden="false" customHeight="false" outlineLevel="0" collapsed="false">
      <c r="A2" s="2" t="s">
        <v>405</v>
      </c>
    </row>
    <row r="4" customFormat="false" ht="15" hidden="false" customHeight="false" outlineLevel="0" collapsed="false">
      <c r="A4" s="11" t="s">
        <v>320</v>
      </c>
      <c r="B4" s="42" t="s">
        <v>305</v>
      </c>
    </row>
    <row r="5" customFormat="false" ht="15" hidden="false" customHeight="false" outlineLevel="0" collapsed="false">
      <c r="A5" s="6" t="s">
        <v>322</v>
      </c>
      <c r="B5" s="20" t="str">
        <f aca="false">IF(SENSIBILIDADE!$B$4="Conservador","C",IF(SENSIBILIDADE!$B$4="Base","D","E"))</f>
        <v>D</v>
      </c>
    </row>
    <row r="7" customFormat="false" ht="15" hidden="false" customHeight="false" outlineLevel="0" collapsed="false">
      <c r="A7" s="11" t="s">
        <v>406</v>
      </c>
      <c r="B7" s="18" t="n">
        <f aca="true">INDIRECT("'ENTRADAS PMO'!"&amp;SENSIBILIDADE!$B$5&amp;"18")+INDIRECT("'ENTRADAS PMO'!"&amp;SENSIBILIDADE!$B$5&amp;"33")+INDIRECT("'ENTRADAS PMO'!"&amp;SENSIBILIDADE!$B$5&amp;"24")+INDIRECT("'ENTRADAS PMO'!"&amp;SENSIBILIDADE!$B$5&amp;"36")-INDIRECT("'ENTRADAS PMO'!"&amp;SENSIBILIDADE!$B$5&amp;"107")</f>
        <v>15231.069</v>
      </c>
    </row>
    <row r="8" customFormat="false" ht="15" hidden="false" customHeight="false" outlineLevel="0" collapsed="false">
      <c r="A8" s="11" t="s">
        <v>407</v>
      </c>
      <c r="B8" s="18" t="n">
        <f aca="true">INDIRECT("'ENTRADAS PMO'!"&amp;SENSIBILIDADE!$B$5&amp;"18")+INDIRECT("'ENTRADAS PMO'!"&amp;SENSIBILIDADE!$B$5&amp;"33")+INDIRECT("'ENTRADAS PMO'!"&amp;SENSIBILIDADE!$B$5&amp;"24")+INDIRECT("'ENTRADAS PMO'!"&amp;SENSIBILIDADE!$B$5&amp;"36")</f>
        <v>491026.5</v>
      </c>
    </row>
    <row r="10" customFormat="false" ht="15" hidden="false" customHeight="false" outlineLevel="0" collapsed="false">
      <c r="A10" s="22" t="s">
        <v>408</v>
      </c>
      <c r="B10" s="22" t="s">
        <v>409</v>
      </c>
      <c r="C10" s="22" t="s">
        <v>410</v>
      </c>
      <c r="D10" s="22" t="s">
        <v>411</v>
      </c>
      <c r="E10" s="22" t="s">
        <v>68</v>
      </c>
      <c r="F10" s="22" t="s">
        <v>412</v>
      </c>
      <c r="G10" s="22" t="s">
        <v>413</v>
      </c>
    </row>
    <row r="11" customFormat="false" ht="15" hidden="false" customHeight="false" outlineLevel="0" collapsed="false">
      <c r="A11" s="6" t="s">
        <v>414</v>
      </c>
      <c r="B11" s="18" t="n">
        <f aca="true">(INDIRECT("'ENTRADAS PMO'!"&amp;SENSIBILIDADE!$B$5&amp;"18")*(1+-0.3)+INDIRECT("'ENTRADAS PMO'!"&amp;SENSIBILIDADE!$B$5&amp;"33")*(1+-0.3)+INDIRECT("'ENTRADAS PMO'!"&amp;SENSIBILIDADE!$B$5&amp;"24")+INDIRECT("'ENTRADAS PMO'!"&amp;SENSIBILIDADE!$B$5&amp;"36"))-INDIRECT("'ENTRADAS PMO'!"&amp;SENSIBILIDADE!$B$5&amp;"107")</f>
        <v>-93976.8810000001</v>
      </c>
      <c r="C11" s="18" t="n">
        <f aca="true">(INDIRECT("'ENTRADAS PMO'!"&amp;SENSIBILIDADE!$B$5&amp;"18")*(1+-0.2)+INDIRECT("'ENTRADAS PMO'!"&amp;SENSIBILIDADE!$B$5&amp;"33")*(1+-0.2)+INDIRECT("'ENTRADAS PMO'!"&amp;SENSIBILIDADE!$B$5&amp;"24")+INDIRECT("'ENTRADAS PMO'!"&amp;SENSIBILIDADE!$B$5&amp;"36"))-INDIRECT("'ENTRADAS PMO'!"&amp;SENSIBILIDADE!$B$5&amp;"107")</f>
        <v>-57574.231</v>
      </c>
      <c r="D11" s="18" t="n">
        <f aca="true">(INDIRECT("'ENTRADAS PMO'!"&amp;SENSIBILIDADE!$B$5&amp;"18")*(1+-0.1)+INDIRECT("'ENTRADAS PMO'!"&amp;SENSIBILIDADE!$B$5&amp;"33")*(1+-0.1)+INDIRECT("'ENTRADAS PMO'!"&amp;SENSIBILIDADE!$B$5&amp;"24")+INDIRECT("'ENTRADAS PMO'!"&amp;SENSIBILIDADE!$B$5&amp;"36"))-INDIRECT("'ENTRADAS PMO'!"&amp;SENSIBILIDADE!$B$5&amp;"107")</f>
        <v>-21171.581</v>
      </c>
      <c r="E11" s="44" t="n">
        <f aca="true">(INDIRECT("'ENTRADAS PMO'!"&amp;SENSIBILIDADE!$B$5&amp;"18")*(1+0)+INDIRECT("'ENTRADAS PMO'!"&amp;SENSIBILIDADE!$B$5&amp;"33")*(1+0)+INDIRECT("'ENTRADAS PMO'!"&amp;SENSIBILIDADE!$B$5&amp;"24")+INDIRECT("'ENTRADAS PMO'!"&amp;SENSIBILIDADE!$B$5&amp;"36"))-INDIRECT("'ENTRADAS PMO'!"&amp;SENSIBILIDADE!$B$5&amp;"107")</f>
        <v>15231.069</v>
      </c>
      <c r="F11" s="18" t="n">
        <f aca="true">(INDIRECT("'ENTRADAS PMO'!"&amp;SENSIBILIDADE!$B$5&amp;"18")*(1+0.1)+INDIRECT("'ENTRADAS PMO'!"&amp;SENSIBILIDADE!$B$5&amp;"33")*(1+0.1)+INDIRECT("'ENTRADAS PMO'!"&amp;SENSIBILIDADE!$B$5&amp;"24")+INDIRECT("'ENTRADAS PMO'!"&amp;SENSIBILIDADE!$B$5&amp;"36"))-INDIRECT("'ENTRADAS PMO'!"&amp;SENSIBILIDADE!$B$5&amp;"107")</f>
        <v>51633.719</v>
      </c>
      <c r="G11" s="18" t="n">
        <f aca="true">(INDIRECT("'ENTRADAS PMO'!"&amp;SENSIBILIDADE!$B$5&amp;"18")*(1+0.2)+INDIRECT("'ENTRADAS PMO'!"&amp;SENSIBILIDADE!$B$5&amp;"33")*(1+0.2)+INDIRECT("'ENTRADAS PMO'!"&amp;SENSIBILIDADE!$B$5&amp;"24")+INDIRECT("'ENTRADAS PMO'!"&amp;SENSIBILIDADE!$B$5&amp;"36"))-INDIRECT("'ENTRADAS PMO'!"&amp;SENSIBILIDADE!$B$5&amp;"107")</f>
        <v>88036.369</v>
      </c>
    </row>
    <row r="12" customFormat="false" ht="15" hidden="false" customHeight="false" outlineLevel="0" collapsed="false">
      <c r="A12" s="6" t="s">
        <v>14</v>
      </c>
      <c r="B12" s="18" t="n">
        <f aca="true">(INDIRECT("'ENTRADAS PMO'!"&amp;SENSIBILIDADE!$B$5&amp;"18")*(1+-0.3)+INDIRECT("'ENTRADAS PMO'!"&amp;SENSIBILIDADE!$B$5&amp;"33")+INDIRECT("'ENTRADAS PMO'!"&amp;SENSIBILIDADE!$B$5&amp;"24")+INDIRECT("'ENTRADAS PMO'!"&amp;SENSIBILIDADE!$B$5&amp;"36"))-INDIRECT("'ENTRADAS PMO'!"&amp;SENSIBILIDADE!$B$5&amp;"107")</f>
        <v>-68325.171</v>
      </c>
      <c r="C12" s="18" t="n">
        <f aca="true">(INDIRECT("'ENTRADAS PMO'!"&amp;SENSIBILIDADE!$B$5&amp;"18")*(1+-0.2)+INDIRECT("'ENTRADAS PMO'!"&amp;SENSIBILIDADE!$B$5&amp;"33")+INDIRECT("'ENTRADAS PMO'!"&amp;SENSIBILIDADE!$B$5&amp;"24")+INDIRECT("'ENTRADAS PMO'!"&amp;SENSIBILIDADE!$B$5&amp;"36"))-INDIRECT("'ENTRADAS PMO'!"&amp;SENSIBILIDADE!$B$5&amp;"107")</f>
        <v>-40473.091</v>
      </c>
      <c r="D12" s="18" t="n">
        <f aca="true">(INDIRECT("'ENTRADAS PMO'!"&amp;SENSIBILIDADE!$B$5&amp;"18")*(1+-0.1)+INDIRECT("'ENTRADAS PMO'!"&amp;SENSIBILIDADE!$B$5&amp;"33")+INDIRECT("'ENTRADAS PMO'!"&amp;SENSIBILIDADE!$B$5&amp;"24")+INDIRECT("'ENTRADAS PMO'!"&amp;SENSIBILIDADE!$B$5&amp;"36"))-INDIRECT("'ENTRADAS PMO'!"&amp;SENSIBILIDADE!$B$5&amp;"107")</f>
        <v>-12621.011</v>
      </c>
      <c r="E12" s="44" t="n">
        <f aca="true">(INDIRECT("'ENTRADAS PMO'!"&amp;SENSIBILIDADE!$B$5&amp;"18")*(1+0)+INDIRECT("'ENTRADAS PMO'!"&amp;SENSIBILIDADE!$B$5&amp;"33")+INDIRECT("'ENTRADAS PMO'!"&amp;SENSIBILIDADE!$B$5&amp;"24")+INDIRECT("'ENTRADAS PMO'!"&amp;SENSIBILIDADE!$B$5&amp;"36"))-INDIRECT("'ENTRADAS PMO'!"&amp;SENSIBILIDADE!$B$5&amp;"107")</f>
        <v>15231.069</v>
      </c>
      <c r="F12" s="18" t="n">
        <f aca="true">(INDIRECT("'ENTRADAS PMO'!"&amp;SENSIBILIDADE!$B$5&amp;"18")*(1+0.1)+INDIRECT("'ENTRADAS PMO'!"&amp;SENSIBILIDADE!$B$5&amp;"33")+INDIRECT("'ENTRADAS PMO'!"&amp;SENSIBILIDADE!$B$5&amp;"24")+INDIRECT("'ENTRADAS PMO'!"&amp;SENSIBILIDADE!$B$5&amp;"36"))-INDIRECT("'ENTRADAS PMO'!"&amp;SENSIBILIDADE!$B$5&amp;"107")</f>
        <v>43083.149</v>
      </c>
      <c r="G12" s="18" t="n">
        <f aca="true">(INDIRECT("'ENTRADAS PMO'!"&amp;SENSIBILIDADE!$B$5&amp;"18")*(1+0.2)+INDIRECT("'ENTRADAS PMO'!"&amp;SENSIBILIDADE!$B$5&amp;"33")+INDIRECT("'ENTRADAS PMO'!"&amp;SENSIBILIDADE!$B$5&amp;"24")+INDIRECT("'ENTRADAS PMO'!"&amp;SENSIBILIDADE!$B$5&amp;"36"))-INDIRECT("'ENTRADAS PMO'!"&amp;SENSIBILIDADE!$B$5&amp;"107")</f>
        <v>70935.2289999999</v>
      </c>
    </row>
    <row r="13" customFormat="false" ht="15" hidden="false" customHeight="false" outlineLevel="0" collapsed="false">
      <c r="A13" s="6" t="s">
        <v>415</v>
      </c>
      <c r="B13" s="18" t="n">
        <f aca="true">(INDIRECT("'ENTRADAS PMO'!"&amp;SENSIBILIDADE!$B$5&amp;"18")+INDIRECT("'ENTRADAS PMO'!"&amp;SENSIBILIDADE!$B$5&amp;"33")+INDIRECT("'ENTRADAS PMO'!"&amp;SENSIBILIDADE!$B$5&amp;"24")*(1+-0.3)+INDIRECT("'ENTRADAS PMO'!"&amp;SENSIBILIDADE!$B$5&amp;"36"))-INDIRECT("'ENTRADAS PMO'!"&amp;SENSIBILIDADE!$B$5&amp;"107")</f>
        <v>-22868.931</v>
      </c>
      <c r="C13" s="18" t="n">
        <f aca="true">(INDIRECT("'ENTRADAS PMO'!"&amp;SENSIBILIDADE!$B$5&amp;"18")+INDIRECT("'ENTRADAS PMO'!"&amp;SENSIBILIDADE!$B$5&amp;"33")+INDIRECT("'ENTRADAS PMO'!"&amp;SENSIBILIDADE!$B$5&amp;"24")*(1+-0.2)+INDIRECT("'ENTRADAS PMO'!"&amp;SENSIBILIDADE!$B$5&amp;"36"))-INDIRECT("'ENTRADAS PMO'!"&amp;SENSIBILIDADE!$B$5&amp;"107")</f>
        <v>-10168.931</v>
      </c>
      <c r="D13" s="18" t="n">
        <f aca="true">(INDIRECT("'ENTRADAS PMO'!"&amp;SENSIBILIDADE!$B$5&amp;"18")+INDIRECT("'ENTRADAS PMO'!"&amp;SENSIBILIDADE!$B$5&amp;"33")+INDIRECT("'ENTRADAS PMO'!"&amp;SENSIBILIDADE!$B$5&amp;"24")*(1+-0.1)+INDIRECT("'ENTRADAS PMO'!"&amp;SENSIBILIDADE!$B$5&amp;"36"))-INDIRECT("'ENTRADAS PMO'!"&amp;SENSIBILIDADE!$B$5&amp;"107")</f>
        <v>2531.06900000002</v>
      </c>
      <c r="E13" s="44" t="n">
        <f aca="true">(INDIRECT("'ENTRADAS PMO'!"&amp;SENSIBILIDADE!$B$5&amp;"18")+INDIRECT("'ENTRADAS PMO'!"&amp;SENSIBILIDADE!$B$5&amp;"33")+INDIRECT("'ENTRADAS PMO'!"&amp;SENSIBILIDADE!$B$5&amp;"24")*(1+0)+INDIRECT("'ENTRADAS PMO'!"&amp;SENSIBILIDADE!$B$5&amp;"36"))-INDIRECT("'ENTRADAS PMO'!"&amp;SENSIBILIDADE!$B$5&amp;"107")</f>
        <v>15231.069</v>
      </c>
      <c r="F13" s="18" t="n">
        <f aca="true">(INDIRECT("'ENTRADAS PMO'!"&amp;SENSIBILIDADE!$B$5&amp;"18")+INDIRECT("'ENTRADAS PMO'!"&amp;SENSIBILIDADE!$B$5&amp;"33")+INDIRECT("'ENTRADAS PMO'!"&amp;SENSIBILIDADE!$B$5&amp;"24")*(1+0.1)+INDIRECT("'ENTRADAS PMO'!"&amp;SENSIBILIDADE!$B$5&amp;"36"))-INDIRECT("'ENTRADAS PMO'!"&amp;SENSIBILIDADE!$B$5&amp;"107")</f>
        <v>27931.069</v>
      </c>
      <c r="G13" s="18" t="n">
        <f aca="true">(INDIRECT("'ENTRADAS PMO'!"&amp;SENSIBILIDADE!$B$5&amp;"18")+INDIRECT("'ENTRADAS PMO'!"&amp;SENSIBILIDADE!$B$5&amp;"33")+INDIRECT("'ENTRADAS PMO'!"&amp;SENSIBILIDADE!$B$5&amp;"24")*(1+0.2)+INDIRECT("'ENTRADAS PMO'!"&amp;SENSIBILIDADE!$B$5&amp;"36"))-INDIRECT("'ENTRADAS PMO'!"&amp;SENSIBILIDADE!$B$5&amp;"107")</f>
        <v>40631.069</v>
      </c>
    </row>
    <row r="14" customFormat="false" ht="15" hidden="false" customHeight="false" outlineLevel="0" collapsed="false">
      <c r="A14" s="6" t="s">
        <v>416</v>
      </c>
      <c r="B14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PMO'!"&amp;SENSIBILIDADE!$B$5&amp;"39")*((1+-0.3)-1))+INDIRECT("'ENTRADAS PMO'!"&amp;SENSIBILIDADE!$B$5&amp;"104"))*(1+INDIRECT("'ENTRADAS PMO'!"&amp;SENSIBILIDADE!$B$5&amp;"100")))</f>
        <v>73551.069</v>
      </c>
      <c r="C14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PMO'!"&amp;SENSIBILIDADE!$B$5&amp;"39")*((1+-0.2)-1))+INDIRECT("'ENTRADAS PMO'!"&amp;SENSIBILIDADE!$B$5&amp;"104"))*(1+INDIRECT("'ENTRADAS PMO'!"&amp;SENSIBILIDADE!$B$5&amp;"100")))</f>
        <v>54111.069</v>
      </c>
      <c r="D14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PMO'!"&amp;SENSIBILIDADE!$B$5&amp;"39")*((1+-0.1)-1))+INDIRECT("'ENTRADAS PMO'!"&amp;SENSIBILIDADE!$B$5&amp;"104"))*(1+INDIRECT("'ENTRADAS PMO'!"&amp;SENSIBILIDADE!$B$5&amp;"100")))</f>
        <v>34671.069</v>
      </c>
      <c r="E14" s="44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PMO'!"&amp;SENSIBILIDADE!$B$5&amp;"39")*((1+0)-1))+INDIRECT("'ENTRADAS PMO'!"&amp;SENSIBILIDADE!$B$5&amp;"104"))*(1+INDIRECT("'ENTRADAS PMO'!"&amp;SENSIBILIDADE!$B$5&amp;"100")))</f>
        <v>15231.069</v>
      </c>
      <c r="F14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PMO'!"&amp;SENSIBILIDADE!$B$5&amp;"39")*((1+0.1)-1))+INDIRECT("'ENTRADAS PMO'!"&amp;SENSIBILIDADE!$B$5&amp;"104"))*(1+INDIRECT("'ENTRADAS PMO'!"&amp;SENSIBILIDADE!$B$5&amp;"100")))</f>
        <v>-4208.93100000004</v>
      </c>
      <c r="G14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PMO'!"&amp;SENSIBILIDADE!$B$5&amp;"39")*((1+0.2)-1))+INDIRECT("'ENTRADAS PMO'!"&amp;SENSIBILIDADE!$B$5&amp;"104"))*(1+INDIRECT("'ENTRADAS PMO'!"&amp;SENSIBILIDADE!$B$5&amp;"100")))</f>
        <v>-23648.931</v>
      </c>
    </row>
    <row r="15" customFormat="false" ht="15" hidden="false" customHeight="false" outlineLevel="0" collapsed="false">
      <c r="A15" s="6" t="s">
        <v>417</v>
      </c>
      <c r="B15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PMO'!"&amp;SENSIBILIDADE!$B$5&amp;"58")*((1+-0.3)-1))+INDIRECT("'ENTRADAS PMO'!"&amp;SENSIBILIDADE!$B$5&amp;"104"))*(1+INDIRECT("'ENTRADAS PMO'!"&amp;SENSIBILIDADE!$B$5&amp;"100")))</f>
        <v>44391.069</v>
      </c>
      <c r="C15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PMO'!"&amp;SENSIBILIDADE!$B$5&amp;"58")*((1+-0.2)-1))+INDIRECT("'ENTRADAS PMO'!"&amp;SENSIBILIDADE!$B$5&amp;"104"))*(1+INDIRECT("'ENTRADAS PMO'!"&amp;SENSIBILIDADE!$B$5&amp;"100")))</f>
        <v>34671.069</v>
      </c>
      <c r="D15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PMO'!"&amp;SENSIBILIDADE!$B$5&amp;"58")*((1+-0.1)-1))+INDIRECT("'ENTRADAS PMO'!"&amp;SENSIBILIDADE!$B$5&amp;"104"))*(1+INDIRECT("'ENTRADAS PMO'!"&amp;SENSIBILIDADE!$B$5&amp;"100")))</f>
        <v>24951.069</v>
      </c>
      <c r="E15" s="44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PMO'!"&amp;SENSIBILIDADE!$B$5&amp;"58")*((1+0)-1))+INDIRECT("'ENTRADAS PMO'!"&amp;SENSIBILIDADE!$B$5&amp;"104"))*(1+INDIRECT("'ENTRADAS PMO'!"&amp;SENSIBILIDADE!$B$5&amp;"100")))</f>
        <v>15231.069</v>
      </c>
      <c r="F15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PMO'!"&amp;SENSIBILIDADE!$B$5&amp;"58")*((1+0.1)-1))+INDIRECT("'ENTRADAS PMO'!"&amp;SENSIBILIDADE!$B$5&amp;"104"))*(1+INDIRECT("'ENTRADAS PMO'!"&amp;SENSIBILIDADE!$B$5&amp;"100")))</f>
        <v>5511.06899999996</v>
      </c>
      <c r="G15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PMO'!"&amp;SENSIBILIDADE!$B$5&amp;"36"))-(((INDIRECT("'ENTRADAS PMO'!"&amp;SENSIBILIDADE!$B$5&amp;"103")+INDIRECT("'ENTRADAS PMO'!"&amp;SENSIBILIDADE!$B$5&amp;"58")*((1+0.2)-1))+INDIRECT("'ENTRADAS PMO'!"&amp;SENSIBILIDADE!$B$5&amp;"104"))*(1+INDIRECT("'ENTRADAS PMO'!"&amp;SENSIBILIDADE!$B$5&amp;"100")))</f>
        <v>-4208.93100000004</v>
      </c>
    </row>
    <row r="16" customFormat="false" ht="15" hidden="false" customHeight="false" outlineLevel="0" collapsed="false">
      <c r="A16" s="6" t="s">
        <v>418</v>
      </c>
      <c r="B16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PMO'!"&amp;SENSIBILIDADE!$B$5&amp;"36"))-INDIRECT("'ENTRADAS PMO'!"&amp;SENSIBILIDADE!$B$5&amp;"107")*(1+-0.3)</f>
        <v>157969.6983</v>
      </c>
      <c r="C16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PMO'!"&amp;SENSIBILIDADE!$B$5&amp;"36"))-INDIRECT("'ENTRADAS PMO'!"&amp;SENSIBILIDADE!$B$5&amp;"107")*(1+-0.2)</f>
        <v>110390.1552</v>
      </c>
      <c r="D16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PMO'!"&amp;SENSIBILIDADE!$B$5&amp;"36"))-INDIRECT("'ENTRADAS PMO'!"&amp;SENSIBILIDADE!$B$5&amp;"107")*(1+-0.1)</f>
        <v>62810.6121</v>
      </c>
      <c r="E16" s="44" t="n">
        <f aca="true">(INDIRECT("'ENTRADAS PMO'!"&amp;SENSIBILIDADE!$B$5&amp;"18")+INDIRECT("'ENTRADAS PMO'!"&amp;SENSIBILIDADE!$B$5&amp;"33")+INDIRECT("'ENTRADAS PMO'!"&amp;SENSIBILIDADE!$B$5&amp;"24")+INDIRECT("'ENTRADAS PMO'!"&amp;SENSIBILIDADE!$B$5&amp;"36"))-INDIRECT("'ENTRADAS PMO'!"&amp;SENSIBILIDADE!$B$5&amp;"107")*(1+0)</f>
        <v>15231.069</v>
      </c>
      <c r="F16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PMO'!"&amp;SENSIBILIDADE!$B$5&amp;"36"))-INDIRECT("'ENTRADAS PMO'!"&amp;SENSIBILIDADE!$B$5&amp;"107")*(1+0.1)</f>
        <v>-32348.4741000001</v>
      </c>
      <c r="G16" s="18" t="n">
        <f aca="true">(INDIRECT("'ENTRADAS PMO'!"&amp;SENSIBILIDADE!$B$5&amp;"18")+INDIRECT("'ENTRADAS PMO'!"&amp;SENSIBILIDADE!$B$5&amp;"33")+INDIRECT("'ENTRADAS PMO'!"&amp;SENSIBILIDADE!$B$5&amp;"24")+INDIRECT("'ENTRADAS PMO'!"&amp;SENSIBILIDADE!$B$5&amp;"36"))-INDIRECT("'ENTRADAS PMO'!"&amp;SENSIBILIDADE!$B$5&amp;"107")*(1+0.2)</f>
        <v>-79928.0172</v>
      </c>
    </row>
    <row r="17" customFormat="false" ht="15" hidden="false" customHeight="false" outlineLevel="0" collapsed="false">
      <c r="A17" s="6" t="s">
        <v>419</v>
      </c>
      <c r="B17" s="18" t="n">
        <f aca="true">(INDIRECT("'ENTRADAS PMO'!"&amp;SENSIBILIDADE!$B$5&amp;"18")+INDIRECT("'ENTRADAS PMO'!"&amp;SENSIBILIDADE!$B$5&amp;"33")*(1+-0.3)+INDIRECT("'ENTRADAS PMO'!"&amp;SENSIBILIDADE!$B$5&amp;"24")+INDIRECT("'ENTRADAS PMO'!"&amp;SENSIBILIDADE!$B$5&amp;"36"))-INDIRECT("'ENTRADAS PMO'!"&amp;SENSIBILIDADE!$B$5&amp;"107")</f>
        <v>-10420.641</v>
      </c>
      <c r="C17" s="18" t="n">
        <f aca="true">(INDIRECT("'ENTRADAS PMO'!"&amp;SENSIBILIDADE!$B$5&amp;"18")+INDIRECT("'ENTRADAS PMO'!"&amp;SENSIBILIDADE!$B$5&amp;"33")*(1+-0.2)+INDIRECT("'ENTRADAS PMO'!"&amp;SENSIBILIDADE!$B$5&amp;"24")+INDIRECT("'ENTRADAS PMO'!"&amp;SENSIBILIDADE!$B$5&amp;"36"))-INDIRECT("'ENTRADAS PMO'!"&amp;SENSIBILIDADE!$B$5&amp;"107")</f>
        <v>-1870.071</v>
      </c>
      <c r="D17" s="18" t="n">
        <f aca="true">(INDIRECT("'ENTRADAS PMO'!"&amp;SENSIBILIDADE!$B$5&amp;"18")+INDIRECT("'ENTRADAS PMO'!"&amp;SENSIBILIDADE!$B$5&amp;"33")*(1+-0.1)+INDIRECT("'ENTRADAS PMO'!"&amp;SENSIBILIDADE!$B$5&amp;"24")+INDIRECT("'ENTRADAS PMO'!"&amp;SENSIBILIDADE!$B$5&amp;"36"))-INDIRECT("'ENTRADAS PMO'!"&amp;SENSIBILIDADE!$B$5&amp;"107")</f>
        <v>6680.49900000001</v>
      </c>
      <c r="E17" s="44" t="n">
        <f aca="true">(INDIRECT("'ENTRADAS PMO'!"&amp;SENSIBILIDADE!$B$5&amp;"18")+INDIRECT("'ENTRADAS PMO'!"&amp;SENSIBILIDADE!$B$5&amp;"33")*(1+0)+INDIRECT("'ENTRADAS PMO'!"&amp;SENSIBILIDADE!$B$5&amp;"24")+INDIRECT("'ENTRADAS PMO'!"&amp;SENSIBILIDADE!$B$5&amp;"36"))-INDIRECT("'ENTRADAS PMO'!"&amp;SENSIBILIDADE!$B$5&amp;"107")</f>
        <v>15231.069</v>
      </c>
      <c r="F17" s="18" t="n">
        <f aca="true">(INDIRECT("'ENTRADAS PMO'!"&amp;SENSIBILIDADE!$B$5&amp;"18")+INDIRECT("'ENTRADAS PMO'!"&amp;SENSIBILIDADE!$B$5&amp;"33")*(1+0.1)+INDIRECT("'ENTRADAS PMO'!"&amp;SENSIBILIDADE!$B$5&amp;"24")+INDIRECT("'ENTRADAS PMO'!"&amp;SENSIBILIDADE!$B$5&amp;"36"))-INDIRECT("'ENTRADAS PMO'!"&amp;SENSIBILIDADE!$B$5&amp;"107")</f>
        <v>23781.639</v>
      </c>
      <c r="G17" s="18" t="n">
        <f aca="true">(INDIRECT("'ENTRADAS PMO'!"&amp;SENSIBILIDADE!$B$5&amp;"18")+INDIRECT("'ENTRADAS PMO'!"&amp;SENSIBILIDADE!$B$5&amp;"33")*(1+0.2)+INDIRECT("'ENTRADAS PMO'!"&amp;SENSIBILIDADE!$B$5&amp;"24")+INDIRECT("'ENTRADAS PMO'!"&amp;SENSIBILIDADE!$B$5&amp;"36"))-INDIRECT("'ENTRADAS PMO'!"&amp;SENSIBILIDADE!$B$5&amp;"107")</f>
        <v>32332.209</v>
      </c>
    </row>
    <row r="19" customFormat="false" ht="15" hidden="false" customHeight="false" outlineLevel="0" collapsed="false">
      <c r="A19" s="13" t="s">
        <v>420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customFormat="false" ht="23.85" hidden="false" customHeight="false" outlineLevel="0" collapsed="false">
      <c r="A20" s="22" t="s">
        <v>408</v>
      </c>
      <c r="B20" s="22" t="s">
        <v>421</v>
      </c>
      <c r="C20" s="22" t="s">
        <v>422</v>
      </c>
      <c r="D20" s="22" t="s">
        <v>423</v>
      </c>
      <c r="E20" s="22" t="s">
        <v>424</v>
      </c>
      <c r="F20" s="22"/>
      <c r="G20" s="22" t="s">
        <v>425</v>
      </c>
      <c r="H20" s="22"/>
      <c r="I20" s="22" t="s">
        <v>426</v>
      </c>
      <c r="J20" s="22"/>
      <c r="K20" s="22"/>
    </row>
    <row r="21" customFormat="false" ht="15" hidden="false" customHeight="false" outlineLevel="0" collapsed="false">
      <c r="A21" s="6" t="s">
        <v>414</v>
      </c>
      <c r="B21" s="6" t="s">
        <v>427</v>
      </c>
      <c r="C21" s="18" t="n">
        <f aca="false">MAX(ABS(C11-E11),ABS(F11-E11))</f>
        <v>72805.3</v>
      </c>
      <c r="D21" s="27" t="n">
        <f aca="false">IFERROR(C21/SENSIBILIDADE!$B$8,0)</f>
        <v>0.148271630960854</v>
      </c>
      <c r="E21" s="20" t="str">
        <f aca="false">IF(D21&lt;SENSIBILIDADE!$J$21,"Baixo",IF(D21&lt;SENSIBILIDADE!$J$22,"Moderado",IF(D21&lt;SENSIBILIDADE!$J$23,"Alto","Crítico")))</f>
        <v>Moderado</v>
      </c>
      <c r="G21" s="26" t="n">
        <f aca="false">RANK(C21,$C$21:$C$27)</f>
        <v>2</v>
      </c>
      <c r="I21" s="6" t="s">
        <v>428</v>
      </c>
      <c r="J21" s="28" t="n">
        <v>0.05</v>
      </c>
    </row>
    <row r="22" customFormat="false" ht="15" hidden="false" customHeight="false" outlineLevel="0" collapsed="false">
      <c r="A22" s="6" t="s">
        <v>14</v>
      </c>
      <c r="B22" s="6" t="s">
        <v>427</v>
      </c>
      <c r="C22" s="18" t="n">
        <f aca="false">MAX(ABS(C12-E12),ABS(F12-E12))</f>
        <v>55704.16</v>
      </c>
      <c r="D22" s="27" t="n">
        <f aca="false">IFERROR(C22/SENSIBILIDADE!$B$8,0)</f>
        <v>0.113444304940772</v>
      </c>
      <c r="E22" s="20" t="str">
        <f aca="false">IF(D22&lt;SENSIBILIDADE!$J$21,"Baixo",IF(D22&lt;SENSIBILIDADE!$J$22,"Moderado",IF(D22&lt;SENSIBILIDADE!$J$23,"Alto","Crítico")))</f>
        <v>Moderado</v>
      </c>
      <c r="G22" s="26" t="n">
        <f aca="false">RANK(C22,$C$21:$C$27)</f>
        <v>3</v>
      </c>
      <c r="I22" s="6" t="s">
        <v>429</v>
      </c>
      <c r="J22" s="28" t="n">
        <v>0.15</v>
      </c>
    </row>
    <row r="23" customFormat="false" ht="15" hidden="false" customHeight="false" outlineLevel="0" collapsed="false">
      <c r="A23" s="6" t="s">
        <v>415</v>
      </c>
      <c r="B23" s="6" t="s">
        <v>427</v>
      </c>
      <c r="C23" s="18" t="n">
        <f aca="false">MAX(ABS(C13-E13),ABS(F13-E13))</f>
        <v>25400</v>
      </c>
      <c r="D23" s="27" t="n">
        <f aca="false">IFERROR(C23/SENSIBILIDADE!$B$8,0)</f>
        <v>0.0517283690391455</v>
      </c>
      <c r="E23" s="20" t="str">
        <f aca="false">IF(D23&lt;SENSIBILIDADE!$J$21,"Baixo",IF(D23&lt;SENSIBILIDADE!$J$22,"Moderado",IF(D23&lt;SENSIBILIDADE!$J$23,"Alto","Crítico")))</f>
        <v>Moderado</v>
      </c>
      <c r="G23" s="26" t="n">
        <f aca="false">RANK(C23,$C$21:$C$27)</f>
        <v>5</v>
      </c>
      <c r="I23" s="6" t="s">
        <v>430</v>
      </c>
      <c r="J23" s="28" t="n">
        <v>0.3</v>
      </c>
    </row>
    <row r="24" customFormat="false" ht="15" hidden="false" customHeight="false" outlineLevel="0" collapsed="false">
      <c r="A24" s="6" t="s">
        <v>416</v>
      </c>
      <c r="B24" s="6" t="s">
        <v>427</v>
      </c>
      <c r="C24" s="18" t="n">
        <f aca="false">MAX(ABS(C14-E14),ABS(F14-E14))</f>
        <v>38880</v>
      </c>
      <c r="D24" s="27" t="n">
        <f aca="false">IFERROR(C24/SENSIBILIDADE!$B$8,0)</f>
        <v>0.0791810625292118</v>
      </c>
      <c r="E24" s="20" t="str">
        <f aca="false">IF(D24&lt;SENSIBILIDADE!$J$21,"Baixo",IF(D24&lt;SENSIBILIDADE!$J$22,"Moderado",IF(D24&lt;SENSIBILIDADE!$J$23,"Alto","Crítico")))</f>
        <v>Moderado</v>
      </c>
      <c r="G24" s="26" t="n">
        <f aca="false">RANK(C24,$C$21:$C$27)</f>
        <v>4</v>
      </c>
    </row>
    <row r="25" customFormat="false" ht="15" hidden="false" customHeight="false" outlineLevel="0" collapsed="false">
      <c r="A25" s="6" t="s">
        <v>417</v>
      </c>
      <c r="B25" s="6" t="s">
        <v>427</v>
      </c>
      <c r="C25" s="18" t="n">
        <f aca="false">MAX(ABS(C15-E15),ABS(F15-E15))</f>
        <v>19440</v>
      </c>
      <c r="D25" s="27" t="n">
        <f aca="false">IFERROR(C25/SENSIBILIDADE!$B$8,0)</f>
        <v>0.0395905312646059</v>
      </c>
      <c r="E25" s="20" t="str">
        <f aca="false">IF(D25&lt;SENSIBILIDADE!$J$21,"Baixo",IF(D25&lt;SENSIBILIDADE!$J$22,"Moderado",IF(D25&lt;SENSIBILIDADE!$J$23,"Alto","Crítico")))</f>
        <v>Baixo</v>
      </c>
      <c r="G25" s="26" t="n">
        <f aca="false">RANK(C25,$C$21:$C$27)</f>
        <v>6</v>
      </c>
    </row>
    <row r="26" customFormat="false" ht="15" hidden="false" customHeight="false" outlineLevel="0" collapsed="false">
      <c r="A26" s="6" t="s">
        <v>418</v>
      </c>
      <c r="B26" s="6" t="s">
        <v>427</v>
      </c>
      <c r="C26" s="18" t="n">
        <f aca="false">MAX(ABS(C16-E16),ABS(F16-E16))</f>
        <v>95159.0862</v>
      </c>
      <c r="D26" s="27" t="n">
        <f aca="false">IFERROR(C26/SENSIBILIDADE!$B$8,0)</f>
        <v>0.193796233400845</v>
      </c>
      <c r="E26" s="20" t="str">
        <f aca="false">IF(D26&lt;SENSIBILIDADE!$J$21,"Baixo",IF(D26&lt;SENSIBILIDADE!$J$22,"Moderado",IF(D26&lt;SENSIBILIDADE!$J$23,"Alto","Crítico")))</f>
        <v>Alto</v>
      </c>
      <c r="G26" s="26" t="n">
        <f aca="false">RANK(C26,$C$21:$C$27)</f>
        <v>1</v>
      </c>
    </row>
    <row r="27" customFormat="false" ht="15" hidden="false" customHeight="false" outlineLevel="0" collapsed="false">
      <c r="A27" s="6" t="s">
        <v>419</v>
      </c>
      <c r="B27" s="6" t="s">
        <v>427</v>
      </c>
      <c r="C27" s="18" t="n">
        <f aca="false">MAX(ABS(C17-E17),ABS(F17-E17))</f>
        <v>17101.14</v>
      </c>
      <c r="D27" s="27" t="n">
        <f aca="false">IFERROR(C27/SENSIBILIDADE!$B$8,0)</f>
        <v>0.0348273260200825</v>
      </c>
      <c r="E27" s="20" t="str">
        <f aca="false">IF(D27&lt;SENSIBILIDADE!$J$21,"Baixo",IF(D27&lt;SENSIBILIDADE!$J$22,"Moderado",IF(D27&lt;SENSIBILIDADE!$J$23,"Alto","Crítico")))</f>
        <v>Baixo</v>
      </c>
      <c r="G27" s="26" t="n">
        <f aca="false">RANK(C27,$C$21:$C$27)</f>
        <v>7</v>
      </c>
    </row>
  </sheetData>
  <sheetProtection sheet="true" formatCells="false" formatColumns="false" formatRows="false" sort="false" autoFilter="false"/>
  <conditionalFormatting sqref="E21:E27">
    <cfRule type="cellIs" priority="2" operator="equal" aboveAverage="0" equalAverage="0" bottom="0" percent="0" rank="0" text="" dxfId="0">
      <formula>"Baixo"</formula>
    </cfRule>
    <cfRule type="cellIs" priority="3" operator="equal" aboveAverage="0" equalAverage="0" bottom="0" percent="0" rank="0" text="" dxfId="1">
      <formula>"Moderado"</formula>
    </cfRule>
    <cfRule type="cellIs" priority="4" operator="equal" aboveAverage="0" equalAverage="0" bottom="0" percent="0" rank="0" text="" dxfId="2">
      <formula>"Alto"</formula>
    </cfRule>
    <cfRule type="cellIs" priority="5" operator="equal" aboveAverage="0" equalAverage="0" bottom="0" percent="0" rank="0" text="" dxfId="2">
      <formula>"Crítico"</formula>
    </cfRule>
  </conditionalFormatting>
  <dataValidations count="1">
    <dataValidation allowBlank="false" errorStyle="stop" operator="between" showDropDown="false" showErrorMessage="false" showInputMessage="false" sqref="B4" type="list">
      <formula1>"Conservador,Base,Agressivo"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5" min="4" style="0" width="2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1"/>
  </cols>
  <sheetData>
    <row r="1" customFormat="false" ht="18.55" hidden="false" customHeight="false" outlineLevel="0" collapsed="false">
      <c r="A1" s="21" t="s">
        <v>431</v>
      </c>
    </row>
    <row r="2" customFormat="false" ht="15" hidden="false" customHeight="false" outlineLevel="0" collapsed="false">
      <c r="A2" s="2" t="s">
        <v>432</v>
      </c>
    </row>
    <row r="4" customFormat="false" ht="43.25" hidden="false" customHeight="false" outlineLevel="0" collapsed="false">
      <c r="A4" s="22" t="s">
        <v>433</v>
      </c>
      <c r="B4" s="22" t="s">
        <v>309</v>
      </c>
      <c r="C4" s="22" t="s">
        <v>434</v>
      </c>
      <c r="D4" s="22" t="s">
        <v>435</v>
      </c>
      <c r="E4" s="22" t="s">
        <v>436</v>
      </c>
      <c r="F4" s="22" t="s">
        <v>437</v>
      </c>
      <c r="G4" s="22" t="s">
        <v>438</v>
      </c>
      <c r="H4" s="22" t="s">
        <v>439</v>
      </c>
      <c r="I4" s="22" t="s">
        <v>316</v>
      </c>
      <c r="J4" s="22" t="s">
        <v>440</v>
      </c>
      <c r="K4" s="22" t="s">
        <v>441</v>
      </c>
      <c r="L4" s="22" t="s">
        <v>248</v>
      </c>
      <c r="M4" s="22" t="s">
        <v>442</v>
      </c>
      <c r="N4" s="22" t="s">
        <v>247</v>
      </c>
      <c r="O4" s="48" t="s">
        <v>443</v>
      </c>
    </row>
    <row r="5" customFormat="false" ht="15" hidden="false" customHeight="false" outlineLevel="0" collapsed="false">
      <c r="A5" s="26" t="n">
        <v>1</v>
      </c>
      <c r="B5" s="42" t="s">
        <v>263</v>
      </c>
      <c r="C5" s="42" t="s">
        <v>444</v>
      </c>
      <c r="D5" s="42" t="s">
        <v>445</v>
      </c>
      <c r="E5" s="42" t="s">
        <v>446</v>
      </c>
      <c r="F5" s="25" t="n">
        <v>3</v>
      </c>
      <c r="G5" s="25" t="n">
        <v>4</v>
      </c>
      <c r="H5" s="26" t="n">
        <f aca="false">F5*G5</f>
        <v>12</v>
      </c>
      <c r="I5" s="20" t="str">
        <f aca="false">IF(H5&gt;=16,"Crítico",IF(H5&gt;=10,"Alto",IF(H5&gt;=5,"Moderado","Baixo")))</f>
        <v>Alto</v>
      </c>
      <c r="J5" s="42" t="s">
        <v>447</v>
      </c>
      <c r="K5" s="42" t="s">
        <v>448</v>
      </c>
      <c r="L5" s="42" t="s">
        <v>258</v>
      </c>
      <c r="M5" s="39"/>
      <c r="N5" s="42" t="s">
        <v>449</v>
      </c>
      <c r="O5" s="26" t="n">
        <f aca="false">IF(N5="Encerrado",-1,H5)</f>
        <v>12</v>
      </c>
    </row>
    <row r="6" customFormat="false" ht="15" hidden="false" customHeight="false" outlineLevel="0" collapsed="false">
      <c r="A6" s="26" t="n">
        <v>2</v>
      </c>
      <c r="B6" s="42" t="s">
        <v>263</v>
      </c>
      <c r="C6" s="42" t="s">
        <v>450</v>
      </c>
      <c r="D6" s="42" t="s">
        <v>451</v>
      </c>
      <c r="E6" s="42" t="s">
        <v>452</v>
      </c>
      <c r="F6" s="25" t="n">
        <v>3</v>
      </c>
      <c r="G6" s="25" t="n">
        <v>3</v>
      </c>
      <c r="H6" s="26" t="n">
        <f aca="false">F6*G6</f>
        <v>9</v>
      </c>
      <c r="I6" s="20" t="str">
        <f aca="false">IF(H6&gt;=16,"Crítico",IF(H6&gt;=10,"Alto",IF(H6&gt;=5,"Moderado","Baixo")))</f>
        <v>Moderado</v>
      </c>
      <c r="J6" s="42" t="s">
        <v>447</v>
      </c>
      <c r="K6" s="42" t="s">
        <v>453</v>
      </c>
      <c r="L6" s="42" t="s">
        <v>258</v>
      </c>
      <c r="M6" s="39"/>
      <c r="N6" s="42" t="s">
        <v>449</v>
      </c>
      <c r="O6" s="26" t="n">
        <f aca="false">IF(N6="Encerrado",-1,H6)</f>
        <v>9</v>
      </c>
    </row>
    <row r="7" customFormat="false" ht="15" hidden="false" customHeight="false" outlineLevel="0" collapsed="false">
      <c r="A7" s="26" t="n">
        <v>3</v>
      </c>
      <c r="B7" s="42" t="s">
        <v>254</v>
      </c>
      <c r="C7" s="42" t="s">
        <v>454</v>
      </c>
      <c r="D7" s="42" t="s">
        <v>455</v>
      </c>
      <c r="E7" s="42" t="s">
        <v>456</v>
      </c>
      <c r="F7" s="25" t="n">
        <v>3</v>
      </c>
      <c r="G7" s="25" t="n">
        <v>4</v>
      </c>
      <c r="H7" s="26" t="n">
        <f aca="false">F7*G7</f>
        <v>12</v>
      </c>
      <c r="I7" s="20" t="str">
        <f aca="false">IF(H7&gt;=16,"Crítico",IF(H7&gt;=10,"Alto",IF(H7&gt;=5,"Moderado","Baixo")))</f>
        <v>Alto</v>
      </c>
      <c r="J7" s="42" t="s">
        <v>447</v>
      </c>
      <c r="K7" s="42" t="s">
        <v>457</v>
      </c>
      <c r="L7" s="42" t="s">
        <v>258</v>
      </c>
      <c r="M7" s="39"/>
      <c r="N7" s="42" t="s">
        <v>449</v>
      </c>
      <c r="O7" s="26" t="n">
        <f aca="false">IF(N7="Encerrado",-1,H7)</f>
        <v>12</v>
      </c>
    </row>
    <row r="8" customFormat="false" ht="15" hidden="false" customHeight="false" outlineLevel="0" collapsed="false">
      <c r="A8" s="26" t="n">
        <v>4</v>
      </c>
      <c r="B8" s="42" t="s">
        <v>338</v>
      </c>
      <c r="C8" s="42" t="s">
        <v>458</v>
      </c>
      <c r="D8" s="42" t="s">
        <v>459</v>
      </c>
      <c r="E8" s="42" t="s">
        <v>460</v>
      </c>
      <c r="F8" s="25" t="n">
        <v>2</v>
      </c>
      <c r="G8" s="25" t="n">
        <v>3</v>
      </c>
      <c r="H8" s="26" t="n">
        <f aca="false">F8*G8</f>
        <v>6</v>
      </c>
      <c r="I8" s="20" t="str">
        <f aca="false">IF(H8&gt;=16,"Crítico",IF(H8&gt;=10,"Alto",IF(H8&gt;=5,"Moderado","Baixo")))</f>
        <v>Moderado</v>
      </c>
      <c r="J8" s="42" t="s">
        <v>447</v>
      </c>
      <c r="K8" s="42" t="s">
        <v>461</v>
      </c>
      <c r="L8" s="42" t="s">
        <v>258</v>
      </c>
      <c r="M8" s="39"/>
      <c r="N8" s="42" t="s">
        <v>449</v>
      </c>
      <c r="O8" s="26" t="n">
        <f aca="false">IF(N8="Encerrado",-1,H8)</f>
        <v>6</v>
      </c>
    </row>
    <row r="9" customFormat="false" ht="15" hidden="false" customHeight="false" outlineLevel="0" collapsed="false">
      <c r="A9" s="26" t="n">
        <v>5</v>
      </c>
      <c r="B9" s="42" t="s">
        <v>415</v>
      </c>
      <c r="C9" s="42" t="s">
        <v>462</v>
      </c>
      <c r="D9" s="42" t="s">
        <v>463</v>
      </c>
      <c r="E9" s="42" t="s">
        <v>464</v>
      </c>
      <c r="F9" s="25" t="n">
        <v>4</v>
      </c>
      <c r="G9" s="25" t="n">
        <v>5</v>
      </c>
      <c r="H9" s="26" t="n">
        <f aca="false">F9*G9</f>
        <v>20</v>
      </c>
      <c r="I9" s="20" t="str">
        <f aca="false">IF(H9&gt;=16,"Crítico",IF(H9&gt;=10,"Alto",IF(H9&gt;=5,"Moderado","Baixo")))</f>
        <v>Crítico</v>
      </c>
      <c r="J9" s="42" t="s">
        <v>447</v>
      </c>
      <c r="K9" s="42" t="s">
        <v>465</v>
      </c>
      <c r="L9" s="42" t="s">
        <v>258</v>
      </c>
      <c r="M9" s="39"/>
      <c r="N9" s="42" t="s">
        <v>449</v>
      </c>
      <c r="O9" s="26" t="n">
        <f aca="false">IF(N9="Encerrado",-1,H9)</f>
        <v>20</v>
      </c>
    </row>
    <row r="10" customFormat="false" ht="15" hidden="false" customHeight="false" outlineLevel="0" collapsed="false">
      <c r="A10" s="26" t="n">
        <v>6</v>
      </c>
      <c r="B10" s="42" t="s">
        <v>415</v>
      </c>
      <c r="C10" s="42" t="s">
        <v>466</v>
      </c>
      <c r="D10" s="42" t="s">
        <v>467</v>
      </c>
      <c r="E10" s="42" t="s">
        <v>468</v>
      </c>
      <c r="F10" s="25" t="n">
        <v>2</v>
      </c>
      <c r="G10" s="25" t="n">
        <v>4</v>
      </c>
      <c r="H10" s="26" t="n">
        <f aca="false">F10*G10</f>
        <v>8</v>
      </c>
      <c r="I10" s="20" t="str">
        <f aca="false">IF(H10&gt;=16,"Crítico",IF(H10&gt;=10,"Alto",IF(H10&gt;=5,"Moderado","Baixo")))</f>
        <v>Moderado</v>
      </c>
      <c r="J10" s="42" t="s">
        <v>469</v>
      </c>
      <c r="K10" s="42" t="s">
        <v>470</v>
      </c>
      <c r="L10" s="42" t="s">
        <v>258</v>
      </c>
      <c r="M10" s="39"/>
      <c r="N10" s="42" t="s">
        <v>449</v>
      </c>
      <c r="O10" s="26" t="n">
        <f aca="false">IF(N10="Encerrado",-1,H10)</f>
        <v>8</v>
      </c>
    </row>
    <row r="11" customFormat="false" ht="15" hidden="false" customHeight="false" outlineLevel="0" collapsed="false">
      <c r="A11" s="26" t="n">
        <v>7</v>
      </c>
      <c r="B11" s="42" t="s">
        <v>471</v>
      </c>
      <c r="C11" s="42" t="s">
        <v>472</v>
      </c>
      <c r="D11" s="42" t="s">
        <v>473</v>
      </c>
      <c r="E11" s="42" t="s">
        <v>474</v>
      </c>
      <c r="F11" s="25" t="n">
        <v>2</v>
      </c>
      <c r="G11" s="25" t="n">
        <v>5</v>
      </c>
      <c r="H11" s="26" t="n">
        <f aca="false">F11*G11</f>
        <v>10</v>
      </c>
      <c r="I11" s="20" t="str">
        <f aca="false">IF(H11&gt;=16,"Crítico",IF(H11&gt;=10,"Alto",IF(H11&gt;=5,"Moderado","Baixo")))</f>
        <v>Alto</v>
      </c>
      <c r="J11" s="42" t="s">
        <v>447</v>
      </c>
      <c r="K11" s="42" t="s">
        <v>475</v>
      </c>
      <c r="L11" s="42" t="s">
        <v>258</v>
      </c>
      <c r="M11" s="39"/>
      <c r="N11" s="42" t="s">
        <v>449</v>
      </c>
      <c r="O11" s="26" t="n">
        <f aca="false">IF(N11="Encerrado",-1,H11)</f>
        <v>10</v>
      </c>
    </row>
    <row r="12" customFormat="false" ht="15" hidden="false" customHeight="false" outlineLevel="0" collapsed="false">
      <c r="A12" s="26" t="n">
        <v>8</v>
      </c>
      <c r="B12" s="42" t="s">
        <v>471</v>
      </c>
      <c r="C12" s="42" t="s">
        <v>476</v>
      </c>
      <c r="D12" s="42" t="s">
        <v>477</v>
      </c>
      <c r="E12" s="42" t="s">
        <v>478</v>
      </c>
      <c r="F12" s="25" t="n">
        <v>2</v>
      </c>
      <c r="G12" s="25" t="n">
        <v>3</v>
      </c>
      <c r="H12" s="26" t="n">
        <f aca="false">F12*G12</f>
        <v>6</v>
      </c>
      <c r="I12" s="20" t="str">
        <f aca="false">IF(H12&gt;=16,"Crítico",IF(H12&gt;=10,"Alto",IF(H12&gt;=5,"Moderado","Baixo")))</f>
        <v>Moderado</v>
      </c>
      <c r="J12" s="42" t="s">
        <v>479</v>
      </c>
      <c r="K12" s="42" t="s">
        <v>480</v>
      </c>
      <c r="L12" s="42" t="s">
        <v>258</v>
      </c>
      <c r="M12" s="39"/>
      <c r="N12" s="42" t="s">
        <v>449</v>
      </c>
      <c r="O12" s="26" t="n">
        <f aca="false">IF(N12="Encerrado",-1,H12)</f>
        <v>6</v>
      </c>
    </row>
    <row r="13" customFormat="false" ht="15" hidden="false" customHeight="false" outlineLevel="0" collapsed="false">
      <c r="A13" s="26" t="n">
        <v>9</v>
      </c>
      <c r="B13" s="42" t="s">
        <v>238</v>
      </c>
      <c r="C13" s="42" t="s">
        <v>481</v>
      </c>
      <c r="D13" s="42" t="s">
        <v>482</v>
      </c>
      <c r="E13" s="42" t="s">
        <v>483</v>
      </c>
      <c r="F13" s="25" t="n">
        <v>2</v>
      </c>
      <c r="G13" s="25" t="n">
        <v>4</v>
      </c>
      <c r="H13" s="26" t="n">
        <f aca="false">F13*G13</f>
        <v>8</v>
      </c>
      <c r="I13" s="20" t="str">
        <f aca="false">IF(H13&gt;=16,"Crítico",IF(H13&gt;=10,"Alto",IF(H13&gt;=5,"Moderado","Baixo")))</f>
        <v>Moderado</v>
      </c>
      <c r="J13" s="42" t="s">
        <v>447</v>
      </c>
      <c r="K13" s="42" t="s">
        <v>484</v>
      </c>
      <c r="L13" s="42" t="s">
        <v>258</v>
      </c>
      <c r="M13" s="39"/>
      <c r="N13" s="42" t="s">
        <v>449</v>
      </c>
      <c r="O13" s="26" t="n">
        <f aca="false">IF(N13="Encerrado",-1,H13)</f>
        <v>8</v>
      </c>
    </row>
    <row r="14" customFormat="false" ht="15" hidden="false" customHeight="false" outlineLevel="0" collapsed="false">
      <c r="A14" s="26" t="n">
        <v>10</v>
      </c>
      <c r="B14" s="42" t="s">
        <v>485</v>
      </c>
      <c r="C14" s="42" t="s">
        <v>486</v>
      </c>
      <c r="D14" s="42" t="s">
        <v>487</v>
      </c>
      <c r="E14" s="42" t="s">
        <v>488</v>
      </c>
      <c r="F14" s="25" t="n">
        <v>2</v>
      </c>
      <c r="G14" s="25" t="n">
        <v>5</v>
      </c>
      <c r="H14" s="26" t="n">
        <f aca="false">F14*G14</f>
        <v>10</v>
      </c>
      <c r="I14" s="20" t="str">
        <f aca="false">IF(H14&gt;=16,"Crítico",IF(H14&gt;=10,"Alto",IF(H14&gt;=5,"Moderado","Baixo")))</f>
        <v>Alto</v>
      </c>
      <c r="J14" s="42" t="s">
        <v>447</v>
      </c>
      <c r="K14" s="42" t="s">
        <v>489</v>
      </c>
      <c r="L14" s="42" t="s">
        <v>258</v>
      </c>
      <c r="M14" s="39"/>
      <c r="N14" s="42" t="s">
        <v>449</v>
      </c>
      <c r="O14" s="26" t="n">
        <f aca="false">IF(N14="Encerrado",-1,H14)</f>
        <v>10</v>
      </c>
    </row>
    <row r="15" customFormat="false" ht="15" hidden="false" customHeight="false" outlineLevel="0" collapsed="false">
      <c r="A15" s="26" t="n">
        <v>11</v>
      </c>
      <c r="B15" s="42" t="s">
        <v>128</v>
      </c>
      <c r="C15" s="42" t="s">
        <v>490</v>
      </c>
      <c r="D15" s="42" t="s">
        <v>491</v>
      </c>
      <c r="E15" s="42" t="s">
        <v>492</v>
      </c>
      <c r="F15" s="25" t="n">
        <v>2</v>
      </c>
      <c r="G15" s="25" t="n">
        <v>5</v>
      </c>
      <c r="H15" s="26" t="n">
        <f aca="false">F15*G15</f>
        <v>10</v>
      </c>
      <c r="I15" s="20" t="str">
        <f aca="false">IF(H15&gt;=16,"Crítico",IF(H15&gt;=10,"Alto",IF(H15&gt;=5,"Moderado","Baixo")))</f>
        <v>Alto</v>
      </c>
      <c r="J15" s="42" t="s">
        <v>447</v>
      </c>
      <c r="K15" s="42" t="s">
        <v>493</v>
      </c>
      <c r="L15" s="42" t="s">
        <v>258</v>
      </c>
      <c r="M15" s="39"/>
      <c r="N15" s="42" t="s">
        <v>449</v>
      </c>
      <c r="O15" s="26" t="n">
        <f aca="false">IF(N15="Encerrado",-1,H15)</f>
        <v>10</v>
      </c>
    </row>
    <row r="16" customFormat="false" ht="15" hidden="false" customHeight="false" outlineLevel="0" collapsed="false">
      <c r="A16" s="26" t="n">
        <v>12</v>
      </c>
      <c r="B16" s="42" t="s">
        <v>494</v>
      </c>
      <c r="C16" s="42" t="s">
        <v>495</v>
      </c>
      <c r="D16" s="42" t="s">
        <v>496</v>
      </c>
      <c r="E16" s="42" t="s">
        <v>497</v>
      </c>
      <c r="F16" s="25" t="n">
        <v>2</v>
      </c>
      <c r="G16" s="25" t="n">
        <v>5</v>
      </c>
      <c r="H16" s="26" t="n">
        <f aca="false">F16*G16</f>
        <v>10</v>
      </c>
      <c r="I16" s="20" t="str">
        <f aca="false">IF(H16&gt;=16,"Crítico",IF(H16&gt;=10,"Alto",IF(H16&gt;=5,"Moderado","Baixo")))</f>
        <v>Alto</v>
      </c>
      <c r="J16" s="42" t="s">
        <v>447</v>
      </c>
      <c r="K16" s="42" t="s">
        <v>498</v>
      </c>
      <c r="L16" s="42" t="s">
        <v>258</v>
      </c>
      <c r="M16" s="39"/>
      <c r="N16" s="42" t="s">
        <v>449</v>
      </c>
      <c r="O16" s="26" t="n">
        <f aca="false">IF(N16="Encerrado",-1,H16)</f>
        <v>10</v>
      </c>
    </row>
    <row r="17" customFormat="false" ht="15" hidden="false" customHeight="false" outlineLevel="0" collapsed="false">
      <c r="A17" s="26" t="n">
        <v>13</v>
      </c>
      <c r="B17" s="42" t="s">
        <v>499</v>
      </c>
      <c r="C17" s="42" t="s">
        <v>500</v>
      </c>
      <c r="D17" s="42" t="s">
        <v>501</v>
      </c>
      <c r="E17" s="42" t="s">
        <v>502</v>
      </c>
      <c r="F17" s="25" t="n">
        <v>3</v>
      </c>
      <c r="G17" s="25" t="n">
        <v>3</v>
      </c>
      <c r="H17" s="26" t="n">
        <f aca="false">F17*G17</f>
        <v>9</v>
      </c>
      <c r="I17" s="20" t="str">
        <f aca="false">IF(H17&gt;=16,"Crítico",IF(H17&gt;=10,"Alto",IF(H17&gt;=5,"Moderado","Baixo")))</f>
        <v>Moderado</v>
      </c>
      <c r="J17" s="42" t="s">
        <v>469</v>
      </c>
      <c r="K17" s="42" t="s">
        <v>503</v>
      </c>
      <c r="L17" s="42" t="s">
        <v>258</v>
      </c>
      <c r="M17" s="39"/>
      <c r="N17" s="42" t="s">
        <v>449</v>
      </c>
      <c r="O17" s="26" t="n">
        <f aca="false">IF(N17="Encerrado",-1,H17)</f>
        <v>9</v>
      </c>
    </row>
    <row r="18" customFormat="false" ht="15" hidden="false" customHeight="false" outlineLevel="0" collapsed="false">
      <c r="A18" s="26" t="n">
        <v>14</v>
      </c>
      <c r="B18" s="42" t="s">
        <v>260</v>
      </c>
      <c r="C18" s="42" t="s">
        <v>504</v>
      </c>
      <c r="D18" s="42" t="s">
        <v>505</v>
      </c>
      <c r="E18" s="42" t="s">
        <v>506</v>
      </c>
      <c r="F18" s="25" t="n">
        <v>3</v>
      </c>
      <c r="G18" s="25" t="n">
        <v>3</v>
      </c>
      <c r="H18" s="26" t="n">
        <f aca="false">F18*G18</f>
        <v>9</v>
      </c>
      <c r="I18" s="20" t="str">
        <f aca="false">IF(H18&gt;=16,"Crítico",IF(H18&gt;=10,"Alto",IF(H18&gt;=5,"Moderado","Baixo")))</f>
        <v>Moderado</v>
      </c>
      <c r="J18" s="42" t="s">
        <v>447</v>
      </c>
      <c r="K18" s="42" t="s">
        <v>507</v>
      </c>
      <c r="L18" s="42" t="s">
        <v>258</v>
      </c>
      <c r="M18" s="39"/>
      <c r="N18" s="42" t="s">
        <v>449</v>
      </c>
      <c r="O18" s="26" t="n">
        <f aca="false">IF(N18="Encerrado",-1,H18)</f>
        <v>9</v>
      </c>
    </row>
    <row r="19" customFormat="false" ht="15" hidden="false" customHeight="false" outlineLevel="0" collapsed="false">
      <c r="A19" s="26" t="n">
        <v>15</v>
      </c>
      <c r="B19" s="42" t="s">
        <v>508</v>
      </c>
      <c r="C19" s="42" t="s">
        <v>509</v>
      </c>
      <c r="D19" s="42" t="s">
        <v>510</v>
      </c>
      <c r="E19" s="42" t="s">
        <v>511</v>
      </c>
      <c r="F19" s="25" t="n">
        <v>3</v>
      </c>
      <c r="G19" s="25" t="n">
        <v>2</v>
      </c>
      <c r="H19" s="26" t="n">
        <f aca="false">F19*G19</f>
        <v>6</v>
      </c>
      <c r="I19" s="20" t="str">
        <f aca="false">IF(H19&gt;=16,"Crítico",IF(H19&gt;=10,"Alto",IF(H19&gt;=5,"Moderado","Baixo")))</f>
        <v>Moderado</v>
      </c>
      <c r="J19" s="42" t="s">
        <v>447</v>
      </c>
      <c r="K19" s="42" t="s">
        <v>512</v>
      </c>
      <c r="L19" s="42" t="s">
        <v>258</v>
      </c>
      <c r="M19" s="39"/>
      <c r="N19" s="42" t="s">
        <v>449</v>
      </c>
      <c r="O19" s="26" t="n">
        <f aca="false">IF(N19="Encerrado",-1,H19)</f>
        <v>6</v>
      </c>
    </row>
    <row r="20" customFormat="false" ht="15" hidden="false" customHeight="false" outlineLevel="0" collapsed="false">
      <c r="A20" s="26" t="n">
        <v>16</v>
      </c>
      <c r="B20" s="42" t="s">
        <v>508</v>
      </c>
      <c r="C20" s="42" t="s">
        <v>513</v>
      </c>
      <c r="D20" s="42" t="s">
        <v>514</v>
      </c>
      <c r="E20" s="42" t="s">
        <v>515</v>
      </c>
      <c r="F20" s="25" t="n">
        <v>2</v>
      </c>
      <c r="G20" s="25" t="n">
        <v>4</v>
      </c>
      <c r="H20" s="26" t="n">
        <f aca="false">F20*G20</f>
        <v>8</v>
      </c>
      <c r="I20" s="20" t="str">
        <f aca="false">IF(H20&gt;=16,"Crítico",IF(H20&gt;=10,"Alto",IF(H20&gt;=5,"Moderado","Baixo")))</f>
        <v>Moderado</v>
      </c>
      <c r="J20" s="42" t="s">
        <v>447</v>
      </c>
      <c r="K20" s="42" t="s">
        <v>516</v>
      </c>
      <c r="L20" s="42" t="s">
        <v>258</v>
      </c>
      <c r="M20" s="39"/>
      <c r="N20" s="42" t="s">
        <v>449</v>
      </c>
      <c r="O20" s="26" t="n">
        <f aca="false">IF(N20="Encerrado",-1,H20)</f>
        <v>8</v>
      </c>
    </row>
    <row r="23" customFormat="false" ht="15" hidden="false" customHeight="false" outlineLevel="0" collapsed="false">
      <c r="A23" s="13" t="s">
        <v>517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15" hidden="false" customHeight="false" outlineLevel="0" collapsed="false">
      <c r="A24" s="11" t="s">
        <v>518</v>
      </c>
      <c r="B24" s="49" t="n">
        <v>1</v>
      </c>
      <c r="C24" s="49" t="n">
        <v>2</v>
      </c>
      <c r="D24" s="49" t="n">
        <v>3</v>
      </c>
      <c r="E24" s="49" t="n">
        <v>4</v>
      </c>
      <c r="F24" s="49" t="n">
        <v>5</v>
      </c>
    </row>
    <row r="25" customFormat="false" ht="15" hidden="false" customHeight="false" outlineLevel="0" collapsed="false">
      <c r="A25" s="11" t="n">
        <v>5</v>
      </c>
      <c r="B25" s="50" t="n">
        <f aca="false">COUNTIFS($F$5:$F$20,5,$G$5:$G$20,1)</f>
        <v>0</v>
      </c>
      <c r="C25" s="51" t="n">
        <f aca="false">COUNTIFS($F$5:$F$20,5,$G$5:$G$20,2)</f>
        <v>0</v>
      </c>
      <c r="D25" s="51" t="n">
        <f aca="false">COUNTIFS($F$5:$F$20,5,$G$5:$G$20,3)</f>
        <v>0</v>
      </c>
      <c r="E25" s="52" t="n">
        <f aca="false">COUNTIFS($F$5:$F$20,5,$G$5:$G$20,4)</f>
        <v>0</v>
      </c>
      <c r="F25" s="52" t="n">
        <f aca="false">COUNTIFS($F$5:$F$20,5,$G$5:$G$20,5)</f>
        <v>0</v>
      </c>
    </row>
    <row r="26" customFormat="false" ht="15" hidden="false" customHeight="false" outlineLevel="0" collapsed="false">
      <c r="A26" s="11" t="n">
        <v>4</v>
      </c>
      <c r="B26" s="53" t="n">
        <f aca="false">COUNTIFS($F$5:$F$20,4,$G$5:$G$20,1)</f>
        <v>0</v>
      </c>
      <c r="C26" s="50" t="n">
        <f aca="false">COUNTIFS($F$5:$F$20,4,$G$5:$G$20,2)</f>
        <v>0</v>
      </c>
      <c r="D26" s="51" t="n">
        <f aca="false">COUNTIFS($F$5:$F$20,4,$G$5:$G$20,3)</f>
        <v>0</v>
      </c>
      <c r="E26" s="52" t="n">
        <f aca="false">COUNTIFS($F$5:$F$20,4,$G$5:$G$20,4)</f>
        <v>0</v>
      </c>
      <c r="F26" s="52" t="n">
        <f aca="false">COUNTIFS($F$5:$F$20,4,$G$5:$G$20,5)</f>
        <v>1</v>
      </c>
    </row>
    <row r="27" customFormat="false" ht="15" hidden="false" customHeight="false" outlineLevel="0" collapsed="false">
      <c r="A27" s="11" t="n">
        <v>3</v>
      </c>
      <c r="B27" s="53" t="n">
        <f aca="false">COUNTIFS($F$5:$F$20,3,$G$5:$G$20,1)</f>
        <v>0</v>
      </c>
      <c r="C27" s="50" t="n">
        <f aca="false">COUNTIFS($F$5:$F$20,3,$G$5:$G$20,2)</f>
        <v>1</v>
      </c>
      <c r="D27" s="50" t="n">
        <f aca="false">COUNTIFS($F$5:$F$20,3,$G$5:$G$20,3)</f>
        <v>3</v>
      </c>
      <c r="E27" s="51" t="n">
        <f aca="false">COUNTIFS($F$5:$F$20,3,$G$5:$G$20,4)</f>
        <v>2</v>
      </c>
      <c r="F27" s="51" t="n">
        <f aca="false">COUNTIFS($F$5:$F$20,3,$G$5:$G$20,5)</f>
        <v>0</v>
      </c>
    </row>
    <row r="28" customFormat="false" ht="15" hidden="false" customHeight="false" outlineLevel="0" collapsed="false">
      <c r="A28" s="11" t="n">
        <v>2</v>
      </c>
      <c r="B28" s="53" t="n">
        <f aca="false">COUNTIFS($F$5:$F$20,2,$G$5:$G$20,1)</f>
        <v>0</v>
      </c>
      <c r="C28" s="53" t="n">
        <f aca="false">COUNTIFS($F$5:$F$20,2,$G$5:$G$20,2)</f>
        <v>0</v>
      </c>
      <c r="D28" s="50" t="n">
        <f aca="false">COUNTIFS($F$5:$F$20,2,$G$5:$G$20,3)</f>
        <v>2</v>
      </c>
      <c r="E28" s="50" t="n">
        <f aca="false">COUNTIFS($F$5:$F$20,2,$G$5:$G$20,4)</f>
        <v>3</v>
      </c>
      <c r="F28" s="51" t="n">
        <f aca="false">COUNTIFS($F$5:$F$20,2,$G$5:$G$20,5)</f>
        <v>4</v>
      </c>
    </row>
    <row r="29" customFormat="false" ht="15" hidden="false" customHeight="false" outlineLevel="0" collapsed="false">
      <c r="A29" s="11" t="n">
        <v>1</v>
      </c>
      <c r="B29" s="53" t="n">
        <f aca="false">COUNTIFS($F$5:$F$20,1,$G$5:$G$20,1)</f>
        <v>0</v>
      </c>
      <c r="C29" s="53" t="n">
        <f aca="false">COUNTIFS($F$5:$F$20,1,$G$5:$G$20,2)</f>
        <v>0</v>
      </c>
      <c r="D29" s="53" t="n">
        <f aca="false">COUNTIFS($F$5:$F$20,1,$G$5:$G$20,3)</f>
        <v>0</v>
      </c>
      <c r="E29" s="53" t="n">
        <f aca="false">COUNTIFS($F$5:$F$20,1,$G$5:$G$20,4)</f>
        <v>0</v>
      </c>
      <c r="F29" s="50" t="n">
        <f aca="false">COUNTIFS($F$5:$F$20,1,$G$5:$G$20,5)</f>
        <v>0</v>
      </c>
    </row>
    <row r="31" customFormat="false" ht="15" hidden="false" customHeight="false" outlineLevel="0" collapsed="false">
      <c r="A31" s="11" t="s">
        <v>519</v>
      </c>
      <c r="B31" s="26" t="n">
        <f aca="false">COUNTA($C$5:$C$20)</f>
        <v>16</v>
      </c>
    </row>
    <row r="32" customFormat="false" ht="15" hidden="false" customHeight="false" outlineLevel="0" collapsed="false">
      <c r="A32" s="11" t="s">
        <v>520</v>
      </c>
      <c r="B32" s="26" t="n">
        <f aca="false">SUMPRODUCT(($H$5:$H$20&gt;=16)*($N$5:$N$20&lt;&gt;"Encerrado"))</f>
        <v>1</v>
      </c>
    </row>
  </sheetData>
  <sheetProtection sheet="true" formatCells="false" formatColumns="false" formatRows="false" sort="false" autoFilter="false"/>
  <conditionalFormatting sqref="I5:I20">
    <cfRule type="cellIs" priority="2" operator="equal" aboveAverage="0" equalAverage="0" bottom="0" percent="0" rank="0" text="" dxfId="0">
      <formula>"Baixo"</formula>
    </cfRule>
    <cfRule type="cellIs" priority="3" operator="equal" aboveAverage="0" equalAverage="0" bottom="0" percent="0" rank="0" text="" dxfId="1">
      <formula>"Moderado"</formula>
    </cfRule>
    <cfRule type="cellIs" priority="4" operator="equal" aboveAverage="0" equalAverage="0" bottom="0" percent="0" rank="0" text="" dxfId="2">
      <formula>"Alto"</formula>
    </cfRule>
    <cfRule type="cellIs" priority="5" operator="equal" aboveAverage="0" equalAverage="0" bottom="0" percent="0" rank="0" text="" dxfId="2">
      <formula>"Crítico"</formula>
    </cfRule>
  </conditionalFormatting>
  <dataValidations count="4">
    <dataValidation allowBlank="true" errorStyle="stop" operator="between" showDropDown="false" showErrorMessage="false" showInputMessage="false" sqref="B5:B20" type="list">
      <formula1>"Financeiro,Comercial,Ingressos,Patrocínio,Artista,Fornecedor,Infraestrutura,Segurança,Licenciamento,Clima,Marketing,Operação"</formula1>
      <formula2>0</formula2>
    </dataValidation>
    <dataValidation allowBlank="true" errorStyle="stop" operator="between" showDropDown="false" showErrorMessage="false" showInputMessage="false" sqref="J5:J20" type="list">
      <formula1>"Mitigar,Aceitar,Transferir,Evitar"</formula1>
      <formula2>0</formula2>
    </dataValidation>
    <dataValidation allowBlank="true" errorStyle="stop" operator="between" showDropDown="false" showErrorMessage="false" showInputMessage="false" sqref="N5:N20" type="list">
      <formula1>"Aberto,Em andamento,Mitigado,Encerrado"</formula1>
      <formula2>0</formula2>
    </dataValidation>
    <dataValidation allowBlank="true" errorStyle="stop" operator="between" showDropDown="false" showErrorMessage="false" showInputMessage="false" sqref="F5:G2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13"/>
    <col collapsed="false" customWidth="true" hidden="false" outlineLevel="0" max="8" min="8" style="0" width="20"/>
  </cols>
  <sheetData>
    <row r="1" customFormat="false" ht="18.55" hidden="false" customHeight="false" outlineLevel="0" collapsed="false">
      <c r="A1" s="21" t="s">
        <v>521</v>
      </c>
    </row>
    <row r="2" customFormat="false" ht="15" hidden="false" customHeight="false" outlineLevel="0" collapsed="false">
      <c r="A2" s="2" t="s">
        <v>522</v>
      </c>
    </row>
    <row r="4" customFormat="false" ht="15" hidden="false" customHeight="false" outlineLevel="0" collapsed="false">
      <c r="A4" s="22" t="s">
        <v>523</v>
      </c>
      <c r="B4" s="22" t="s">
        <v>524</v>
      </c>
      <c r="C4" s="22" t="s">
        <v>525</v>
      </c>
      <c r="D4" s="22" t="s">
        <v>526</v>
      </c>
      <c r="E4" s="22" t="s">
        <v>247</v>
      </c>
      <c r="F4" s="22" t="s">
        <v>248</v>
      </c>
      <c r="G4" s="22" t="s">
        <v>442</v>
      </c>
      <c r="H4" s="22" t="s">
        <v>527</v>
      </c>
    </row>
    <row r="5" customFormat="false" ht="15" hidden="false" customHeight="false" outlineLevel="0" collapsed="false">
      <c r="A5" s="11" t="s">
        <v>528</v>
      </c>
      <c r="B5" s="6" t="s">
        <v>529</v>
      </c>
      <c r="C5" s="6" t="s">
        <v>530</v>
      </c>
      <c r="D5" s="54" t="str">
        <f aca="false">Cenarios!$W$11</f>
        <v>GO COM RESSALVAS</v>
      </c>
      <c r="E5" s="20" t="str">
        <f aca="false">IF(D5&lt;&gt;"NO-GO","Atingido","Não atingido")</f>
        <v>Atingido</v>
      </c>
      <c r="F5" s="42" t="s">
        <v>531</v>
      </c>
      <c r="G5" s="39"/>
      <c r="H5" s="42" t="s">
        <v>532</v>
      </c>
    </row>
    <row r="6" customFormat="false" ht="15" hidden="false" customHeight="false" outlineLevel="0" collapsed="false">
      <c r="A6" s="11" t="s">
        <v>533</v>
      </c>
      <c r="B6" s="6" t="s">
        <v>534</v>
      </c>
      <c r="C6" s="18" t="n">
        <f aca="false">C7*'ENTRADAS PMO'!$D$39</f>
        <v>108000</v>
      </c>
      <c r="D6" s="7" t="n">
        <f aca="false">'ENTRADAS PMO'!$D$22</f>
        <v>60000</v>
      </c>
      <c r="E6" s="20" t="str">
        <f aca="false">IF(D6&gt;=C6,"Atingido","Não atingido")</f>
        <v>Não atingido</v>
      </c>
      <c r="F6" s="6" t="s">
        <v>254</v>
      </c>
      <c r="G6" s="39"/>
      <c r="H6" s="42" t="s">
        <v>532</v>
      </c>
    </row>
    <row r="7" customFormat="false" ht="15" hidden="false" customHeight="false" outlineLevel="0" collapsed="false">
      <c r="B7" s="6" t="s">
        <v>535</v>
      </c>
      <c r="C7" s="28" t="n">
        <v>0.6</v>
      </c>
    </row>
    <row r="8" customFormat="false" ht="15" hidden="false" customHeight="false" outlineLevel="0" collapsed="false">
      <c r="A8" s="11" t="s">
        <v>536</v>
      </c>
      <c r="B8" s="6" t="s">
        <v>537</v>
      </c>
      <c r="C8" s="6" t="s">
        <v>538</v>
      </c>
      <c r="D8" s="42" t="s">
        <v>539</v>
      </c>
      <c r="E8" s="20" t="str">
        <f aca="false">IF(D8="Sim","Atingido",IF(D8="Parcial","Em andamento","Não atingido"))</f>
        <v>Não atingido</v>
      </c>
      <c r="F8" s="42" t="s">
        <v>258</v>
      </c>
      <c r="G8" s="39"/>
      <c r="H8" s="42" t="s">
        <v>532</v>
      </c>
    </row>
    <row r="9" customFormat="false" ht="15" hidden="false" customHeight="false" outlineLevel="0" collapsed="false">
      <c r="A9" s="11" t="s">
        <v>540</v>
      </c>
      <c r="B9" s="6" t="s">
        <v>541</v>
      </c>
      <c r="C9" s="27" t="n">
        <f aca="false">C10</f>
        <v>0.7</v>
      </c>
      <c r="D9" s="8" t="n">
        <f aca="false">VENDAS!$C$47/'ENTRADAS PMO'!$D$6</f>
        <v>0</v>
      </c>
      <c r="E9" s="20" t="str">
        <f aca="false">IF(D9&gt;=C9,"Atingido","Não atingido")</f>
        <v>Não atingido</v>
      </c>
      <c r="F9" s="42" t="s">
        <v>542</v>
      </c>
      <c r="G9" s="39"/>
      <c r="H9" s="42" t="s">
        <v>532</v>
      </c>
    </row>
    <row r="10" customFormat="false" ht="15" hidden="false" customHeight="false" outlineLevel="0" collapsed="false">
      <c r="B10" s="6" t="s">
        <v>543</v>
      </c>
      <c r="C10" s="28" t="n">
        <v>0.7</v>
      </c>
    </row>
    <row r="11" customFormat="false" ht="15" hidden="false" customHeight="false" outlineLevel="0" collapsed="false">
      <c r="A11" s="11" t="s">
        <v>544</v>
      </c>
      <c r="B11" s="6" t="s">
        <v>545</v>
      </c>
      <c r="C11" s="6" t="s">
        <v>546</v>
      </c>
      <c r="D11" s="9" t="n">
        <f aca="false">RISCOS!$B$32</f>
        <v>1</v>
      </c>
      <c r="E11" s="20" t="str">
        <f aca="false">IF(D11=0,"Atingido","Não atingido")</f>
        <v>Não atingido</v>
      </c>
      <c r="F11" s="42" t="s">
        <v>547</v>
      </c>
      <c r="G11" s="39"/>
      <c r="H11" s="42" t="s">
        <v>532</v>
      </c>
    </row>
  </sheetData>
  <sheetProtection sheet="true" formatCells="false" formatColumns="false" formatRows="false" sort="false" autoFilter="false"/>
  <conditionalFormatting sqref="E5:E11">
    <cfRule type="cellIs" priority="2" operator="equal" aboveAverage="0" equalAverage="0" bottom="0" percent="0" rank="0" text="" dxfId="0">
      <formula>"Atingido"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"Não atingido"</formula>
    </cfRule>
  </conditionalFormatting>
  <conditionalFormatting sqref="H5:H11">
    <cfRule type="cellIs" priority="5" operator="equal" aboveAverage="0" equalAverage="0" bottom="0" percent="0" rank="0" text="" dxfId="0">
      <formula>"Aprovado"</formula>
    </cfRule>
    <cfRule type="cellIs" priority="6" operator="equal" aboveAverage="0" equalAverage="0" bottom="0" percent="0" rank="0" text="" dxfId="1">
      <formula>"Aprovado com ressalvas"</formula>
    </cfRule>
    <cfRule type="cellIs" priority="7" operator="equal" aboveAverage="0" equalAverage="0" bottom="0" percent="0" rank="0" text="" dxfId="2">
      <formula>"Reprovado"</formula>
    </cfRule>
  </conditionalFormatting>
  <dataValidations count="2">
    <dataValidation allowBlank="true" errorStyle="stop" operator="between" showDropDown="false" showErrorMessage="false" showInputMessage="false" sqref="H5:H6 H8:H9 H11" type="list">
      <formula1>"Aprovado,Aprovado com ressalvas,Reprovado,Pendente"</formula1>
      <formula2>0</formula2>
    </dataValidation>
    <dataValidation allowBlank="true" errorStyle="stop" operator="between" showDropDown="false" showErrorMessage="false" showInputMessage="false" sqref="D8" type="list">
      <formula1>"Sim,Não,Parcial"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0"/>
  </cols>
  <sheetData>
    <row r="1" customFormat="false" ht="18.55" hidden="false" customHeight="false" outlineLevel="0" collapsed="false">
      <c r="A1" s="21" t="s">
        <v>548</v>
      </c>
    </row>
    <row r="2" customFormat="false" ht="15" hidden="false" customHeight="false" outlineLevel="0" collapsed="false">
      <c r="A2" s="2" t="s">
        <v>549</v>
      </c>
    </row>
    <row r="4" customFormat="false" ht="23.85" hidden="false" customHeight="false" outlineLevel="0" collapsed="false">
      <c r="A4" s="22" t="s">
        <v>380</v>
      </c>
      <c r="B4" s="22" t="s">
        <v>550</v>
      </c>
      <c r="C4" s="22" t="s">
        <v>551</v>
      </c>
      <c r="D4" s="22" t="s">
        <v>552</v>
      </c>
    </row>
    <row r="5" customFormat="false" ht="15" hidden="false" customHeight="false" outlineLevel="0" collapsed="false">
      <c r="A5" s="13" t="s">
        <v>553</v>
      </c>
      <c r="B5" s="14"/>
      <c r="C5" s="14"/>
      <c r="D5" s="14"/>
    </row>
    <row r="6" customFormat="false" ht="15" hidden="false" customHeight="false" outlineLevel="0" collapsed="false">
      <c r="A6" s="6" t="s">
        <v>9</v>
      </c>
      <c r="B6" s="7" t="n">
        <f aca="false">CUSTOS!$C$52</f>
        <v>475795.431</v>
      </c>
      <c r="C6" s="7" t="n">
        <f aca="false">CUSTOS!$C$53</f>
        <v>0</v>
      </c>
      <c r="D6" s="7" t="n">
        <f aca="false">CUSTOS!$C$55</f>
        <v>475795.431</v>
      </c>
    </row>
    <row r="7" customFormat="false" ht="15" hidden="false" customHeight="false" outlineLevel="0" collapsed="false">
      <c r="A7" s="6" t="s">
        <v>554</v>
      </c>
      <c r="C7" s="7" t="n">
        <f aca="false">CUSTOS!$C$54</f>
        <v>0</v>
      </c>
    </row>
    <row r="8" customFormat="false" ht="15" hidden="false" customHeight="false" outlineLevel="0" collapsed="false">
      <c r="A8" s="6" t="s">
        <v>555</v>
      </c>
      <c r="D8" s="7" t="n">
        <f aca="false">CUSTOS!$C$56</f>
        <v>475795.431</v>
      </c>
    </row>
    <row r="10" customFormat="false" ht="15" hidden="false" customHeight="false" outlineLevel="0" collapsed="false">
      <c r="A10" s="13" t="s">
        <v>556</v>
      </c>
      <c r="B10" s="14"/>
      <c r="C10" s="14"/>
      <c r="D10" s="14"/>
    </row>
    <row r="11" customFormat="false" ht="15" hidden="false" customHeight="false" outlineLevel="0" collapsed="false">
      <c r="A11" s="6" t="s">
        <v>557</v>
      </c>
      <c r="B11" s="9" t="n">
        <f aca="false">Cenarios!$B$11</f>
        <v>2850</v>
      </c>
      <c r="C11" s="9" t="n">
        <f aca="false">VENDAS!$C$47</f>
        <v>0</v>
      </c>
      <c r="D11" s="9" t="n">
        <f aca="false">VENDAS!$C$57</f>
        <v>0</v>
      </c>
    </row>
    <row r="12" customFormat="false" ht="15" hidden="false" customHeight="false" outlineLevel="0" collapsed="false">
      <c r="A12" s="6" t="s">
        <v>558</v>
      </c>
      <c r="B12" s="7" t="n">
        <f aca="false">'ENTRADAS PMO'!$D$18</f>
        <v>278520.8</v>
      </c>
      <c r="C12" s="7" t="n">
        <f aca="false">VENDAS!$C$50</f>
        <v>0</v>
      </c>
      <c r="D12" s="18" t="n">
        <f aca="false">VENDAS!$C$57*'ENTRADAS PMO'!$D$16*(1-'ENTRADAS PMO'!$D$13-'ENTRADAS PMO'!$D$14-'ENTRADAS PMO'!$D$15)</f>
        <v>0</v>
      </c>
    </row>
    <row r="13" customFormat="false" ht="15" hidden="false" customHeight="false" outlineLevel="0" collapsed="false">
      <c r="A13" s="6" t="s">
        <v>559</v>
      </c>
      <c r="B13" s="7" t="n">
        <f aca="false">'ENTRADAS PMO'!$D$33</f>
        <v>85505.7</v>
      </c>
      <c r="C13" s="18" t="n">
        <f aca="false">VENDAS!$C$47*'ENTRADAS PMO'!$D$30</f>
        <v>0</v>
      </c>
      <c r="D13" s="18" t="n">
        <f aca="false">VENDAS!$C$57*'ENTRADAS PMO'!$D$30</f>
        <v>0</v>
      </c>
    </row>
    <row r="14" customFormat="false" ht="15" hidden="false" customHeight="false" outlineLevel="0" collapsed="false">
      <c r="A14" s="6" t="s">
        <v>37</v>
      </c>
      <c r="C14" s="7" t="n">
        <f aca="false">'ENTRADAS PMO'!$D$22</f>
        <v>60000</v>
      </c>
    </row>
    <row r="15" customFormat="false" ht="15" hidden="false" customHeight="false" outlineLevel="0" collapsed="false">
      <c r="A15" s="6" t="s">
        <v>560</v>
      </c>
      <c r="B15" s="7" t="n">
        <f aca="false">'ENTRADAS PMO'!$D$24</f>
        <v>127000</v>
      </c>
      <c r="D15" s="7" t="n">
        <f aca="false">'ENTRADAS PMO'!$D$24</f>
        <v>127000</v>
      </c>
    </row>
    <row r="16" customFormat="false" ht="15" hidden="false" customHeight="false" outlineLevel="0" collapsed="false">
      <c r="A16" s="6" t="s">
        <v>290</v>
      </c>
      <c r="B16" s="7" t="n">
        <f aca="false">'ENTRADAS PMO'!$D$36</f>
        <v>0</v>
      </c>
      <c r="D16" s="7" t="n">
        <f aca="false">'ENTRADAS PMO'!$D$36</f>
        <v>0</v>
      </c>
    </row>
    <row r="17" customFormat="false" ht="15" hidden="false" customHeight="false" outlineLevel="0" collapsed="false">
      <c r="A17" s="11" t="s">
        <v>291</v>
      </c>
      <c r="B17" s="44" t="n">
        <f aca="false">Cenarios!$J$11</f>
        <v>491026.5</v>
      </c>
      <c r="C17" s="44" t="n">
        <f aca="false">C13+C14+C15</f>
        <v>60000</v>
      </c>
      <c r="D17" s="44" t="n">
        <f aca="false">D12+D13+D15+D16</f>
        <v>127000</v>
      </c>
    </row>
    <row r="19" customFormat="false" ht="15" hidden="false" customHeight="false" outlineLevel="0" collapsed="false">
      <c r="A19" s="13" t="s">
        <v>293</v>
      </c>
      <c r="B19" s="14"/>
      <c r="C19" s="14"/>
      <c r="D19" s="14"/>
    </row>
    <row r="20" customFormat="false" ht="15" hidden="false" customHeight="false" outlineLevel="0" collapsed="false">
      <c r="A20" s="11" t="s">
        <v>293</v>
      </c>
      <c r="B20" s="44" t="n">
        <f aca="false">B17-B6</f>
        <v>15231.069</v>
      </c>
      <c r="C20" s="44" t="n">
        <f aca="false">C17-C6</f>
        <v>60000</v>
      </c>
      <c r="D20" s="44" t="n">
        <f aca="false">D17-D6</f>
        <v>-348795.431</v>
      </c>
    </row>
    <row r="21" customFormat="false" ht="15" hidden="false" customHeight="false" outlineLevel="0" collapsed="false">
      <c r="A21" s="11" t="s">
        <v>294</v>
      </c>
      <c r="B21" s="27" t="n">
        <f aca="false">IFERROR(B20/B17,0)</f>
        <v>0.0310188329957752</v>
      </c>
      <c r="C21" s="27" t="n">
        <f aca="false">IFERROR(C20/C17,0)</f>
        <v>1</v>
      </c>
      <c r="D21" s="27" t="n">
        <f aca="false">IFERROR(D20/D17,0)</f>
        <v>-2.74642071653543</v>
      </c>
    </row>
    <row r="22" customFormat="false" ht="15" hidden="false" customHeight="false" outlineLevel="0" collapsed="false">
      <c r="A22" s="11" t="s">
        <v>561</v>
      </c>
      <c r="B22" s="18" t="n">
        <f aca="false">D20-B20</f>
        <v>-364026.5</v>
      </c>
    </row>
  </sheetData>
  <sheetProtection sheet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8.55" hidden="false" customHeight="false" outlineLevel="0" collapsed="false">
      <c r="A1" s="21" t="s">
        <v>562</v>
      </c>
    </row>
    <row r="2" customFormat="false" ht="15" hidden="false" customHeight="false" outlineLevel="0" collapsed="false">
      <c r="A2" s="2" t="s">
        <v>563</v>
      </c>
    </row>
    <row r="4" customFormat="false" ht="15" hidden="false" customHeight="false" outlineLevel="0" collapsed="false">
      <c r="A4" s="22" t="s">
        <v>380</v>
      </c>
      <c r="B4" s="22" t="s">
        <v>67</v>
      </c>
      <c r="C4" s="22" t="s">
        <v>68</v>
      </c>
      <c r="D4" s="22" t="s">
        <v>69</v>
      </c>
    </row>
    <row r="5" customFormat="false" ht="15" hidden="false" customHeight="false" outlineLevel="0" collapsed="false">
      <c r="A5" s="6" t="s">
        <v>284</v>
      </c>
      <c r="B5" s="9" t="n">
        <f aca="false">Cenarios!$B$10</f>
        <v>1540</v>
      </c>
      <c r="C5" s="9" t="n">
        <f aca="false">Cenarios!$B$11</f>
        <v>2850</v>
      </c>
      <c r="D5" s="9" t="n">
        <f aca="false">Cenarios!$B$12</f>
        <v>3150</v>
      </c>
    </row>
    <row r="6" customFormat="false" ht="15" hidden="false" customHeight="false" outlineLevel="0" collapsed="false">
      <c r="A6" s="6" t="s">
        <v>286</v>
      </c>
      <c r="B6" s="8" t="n">
        <f aca="false">Cenarios!$D$10</f>
        <v>0.754545454545455</v>
      </c>
      <c r="C6" s="8" t="n">
        <f aca="false">Cenarios!$D$11</f>
        <v>1</v>
      </c>
      <c r="D6" s="8" t="n">
        <f aca="false">Cenarios!$D$12</f>
        <v>0.951428571428571</v>
      </c>
    </row>
    <row r="7" customFormat="false" ht="15" hidden="false" customHeight="false" outlineLevel="0" collapsed="false">
      <c r="A7" s="6" t="s">
        <v>14</v>
      </c>
      <c r="B7" s="10" t="n">
        <f aca="false">Cenarios!$E$10</f>
        <v>80.2922077922078</v>
      </c>
      <c r="C7" s="10" t="n">
        <f aca="false">Cenarios!$E$11</f>
        <v>106.224561403509</v>
      </c>
      <c r="D7" s="10" t="n">
        <f aca="false">Cenarios!$E$12</f>
        <v>111.031746031746</v>
      </c>
    </row>
    <row r="8" customFormat="false" ht="15" hidden="false" customHeight="false" outlineLevel="0" collapsed="false">
      <c r="A8" s="6" t="s">
        <v>564</v>
      </c>
      <c r="B8" s="7" t="n">
        <f aca="false">Cenarios!$F$10</f>
        <v>113758</v>
      </c>
      <c r="C8" s="7" t="n">
        <f aca="false">Cenarios!$F$11</f>
        <v>278520.8</v>
      </c>
      <c r="D8" s="7" t="n">
        <f aca="false">Cenarios!$F$12</f>
        <v>321770</v>
      </c>
    </row>
    <row r="9" customFormat="false" ht="15" hidden="false" customHeight="false" outlineLevel="0" collapsed="false">
      <c r="A9" s="6" t="s">
        <v>565</v>
      </c>
      <c r="B9" s="7" t="n">
        <f aca="false">Cenarios!$G$10</f>
        <v>33880</v>
      </c>
      <c r="C9" s="7" t="n">
        <f aca="false">Cenarios!$G$11</f>
        <v>85505.7</v>
      </c>
      <c r="D9" s="7" t="n">
        <f aca="false">Cenarios!$G$12</f>
        <v>110250</v>
      </c>
    </row>
    <row r="10" customFormat="false" ht="15" hidden="false" customHeight="false" outlineLevel="0" collapsed="false">
      <c r="A10" s="6" t="s">
        <v>289</v>
      </c>
      <c r="B10" s="7" t="n">
        <f aca="false">Cenarios!$H$10</f>
        <v>47820</v>
      </c>
      <c r="C10" s="7" t="n">
        <f aca="false">Cenarios!$H$11</f>
        <v>127000</v>
      </c>
      <c r="D10" s="7" t="n">
        <f aca="false">Cenarios!$H$12</f>
        <v>257400</v>
      </c>
    </row>
    <row r="11" customFormat="false" ht="15" hidden="false" customHeight="false" outlineLevel="0" collapsed="false">
      <c r="A11" s="11" t="s">
        <v>291</v>
      </c>
      <c r="B11" s="7" t="n">
        <f aca="false">Cenarios!$J$10</f>
        <v>195458</v>
      </c>
      <c r="C11" s="7" t="n">
        <f aca="false">Cenarios!$J$11</f>
        <v>491026.5</v>
      </c>
      <c r="D11" s="7" t="n">
        <f aca="false">Cenarios!$J$12</f>
        <v>689420</v>
      </c>
    </row>
    <row r="12" customFormat="false" ht="15" hidden="false" customHeight="false" outlineLevel="0" collapsed="false">
      <c r="A12" s="11" t="s">
        <v>292</v>
      </c>
      <c r="B12" s="7" t="n">
        <f aca="false">Cenarios!$K$10</f>
        <v>403049.8042</v>
      </c>
      <c r="C12" s="7" t="n">
        <f aca="false">Cenarios!$K$11</f>
        <v>475795.431</v>
      </c>
      <c r="D12" s="7" t="n">
        <f aca="false">Cenarios!$K$12</f>
        <v>571042.67</v>
      </c>
    </row>
    <row r="13" customFormat="false" ht="15" hidden="false" customHeight="false" outlineLevel="0" collapsed="false">
      <c r="A13" s="11" t="s">
        <v>293</v>
      </c>
      <c r="B13" s="7" t="n">
        <f aca="false">Cenarios!$L$10</f>
        <v>-207591.8042</v>
      </c>
      <c r="C13" s="7" t="n">
        <f aca="false">Cenarios!$L$11</f>
        <v>15231.069</v>
      </c>
      <c r="D13" s="7" t="n">
        <f aca="false">Cenarios!$L$12</f>
        <v>118377.33</v>
      </c>
    </row>
    <row r="14" customFormat="false" ht="15" hidden="false" customHeight="false" outlineLevel="0" collapsed="false">
      <c r="A14" s="11" t="s">
        <v>294</v>
      </c>
      <c r="B14" s="8" t="n">
        <f aca="false">Cenarios!$M$10</f>
        <v>-1.06207883125787</v>
      </c>
      <c r="C14" s="8" t="n">
        <f aca="false">Cenarios!$M$11</f>
        <v>0.0310188329957752</v>
      </c>
      <c r="D14" s="8" t="n">
        <f aca="false">Cenarios!$M$12</f>
        <v>0.171705680136927</v>
      </c>
    </row>
    <row r="15" customFormat="false" ht="15" hidden="false" customHeight="false" outlineLevel="0" collapsed="false">
      <c r="A15" s="6" t="s">
        <v>566</v>
      </c>
      <c r="B15" s="9" t="n">
        <f aca="false">Cenarios!$R$10</f>
        <v>3705.37326750566</v>
      </c>
      <c r="C15" s="9" t="n">
        <f aca="false">Cenarios!$R$11</f>
        <v>2730.75443230095</v>
      </c>
      <c r="D15" s="9" t="n">
        <f aca="false">Cenarios!$R$12</f>
        <v>2286.87192838295</v>
      </c>
    </row>
    <row r="16" customFormat="false" ht="15" hidden="false" customHeight="false" outlineLevel="0" collapsed="false">
      <c r="A16" s="11" t="s">
        <v>567</v>
      </c>
      <c r="B16" s="7" t="n">
        <f aca="false">Cenarios!$K$10-'ENTRADAS PMO'!$C$22</f>
        <v>403049.8042</v>
      </c>
      <c r="C16" s="7" t="n">
        <f aca="false">Cenarios!$K$11-'ENTRADAS PMO'!$D$22</f>
        <v>415795.431</v>
      </c>
      <c r="D16" s="7" t="n">
        <f aca="false">Cenarios!$K$12-'ENTRADAS PMO'!$E$22</f>
        <v>373042.67</v>
      </c>
    </row>
    <row r="17" customFormat="false" ht="15" hidden="false" customHeight="false" outlineLevel="0" collapsed="false">
      <c r="A17" s="11" t="s">
        <v>568</v>
      </c>
      <c r="B17" s="7" t="n">
        <f aca="false">'FLUXO DE CAIXA'!$B$62</f>
        <v>207591.8042</v>
      </c>
      <c r="C17" s="7" t="n">
        <f aca="false">'FLUXO DE CAIXA'!$B$65</f>
        <v>12483.96</v>
      </c>
      <c r="D17" s="7" t="n">
        <f aca="false">'FLUXO DE CAIXA'!$B$68</f>
        <v>0</v>
      </c>
    </row>
    <row r="18" customFormat="false" ht="15" hidden="false" customHeight="false" outlineLevel="0" collapsed="false">
      <c r="A18" s="6" t="s">
        <v>247</v>
      </c>
      <c r="B18" s="54" t="str">
        <f aca="false">Cenarios!$V$10</f>
        <v>VERMELHO</v>
      </c>
      <c r="C18" s="54" t="str">
        <f aca="false">Cenarios!$V$11</f>
        <v>AMARELO</v>
      </c>
      <c r="D18" s="54" t="str">
        <f aca="false">Cenarios!$V$12</f>
        <v>VERDE</v>
      </c>
    </row>
    <row r="19" customFormat="false" ht="15" hidden="false" customHeight="false" outlineLevel="0" collapsed="false">
      <c r="A19" s="6" t="s">
        <v>303</v>
      </c>
      <c r="B19" s="54" t="str">
        <f aca="false">Cenarios!$W$10</f>
        <v>NO-GO</v>
      </c>
      <c r="C19" s="54" t="str">
        <f aca="false">Cenarios!$W$11</f>
        <v>GO COM RESSALVAS</v>
      </c>
      <c r="D19" s="54" t="str">
        <f aca="false">Cenarios!$W$12</f>
        <v>GO</v>
      </c>
    </row>
  </sheetData>
  <sheetProtection sheet="true" formatCells="false" formatColumns="false" formatRows="false" sort="false" autoFilter="false"/>
  <conditionalFormatting sqref="B18:D18">
    <cfRule type="cellIs" priority="2" operator="equal" aboveAverage="0" equalAverage="0" bottom="0" percent="0" rank="0" text="" dxfId="0">
      <formula>"VERDE"</formula>
    </cfRule>
    <cfRule type="cellIs" priority="3" operator="equal" aboveAverage="0" equalAverage="0" bottom="0" percent="0" rank="0" text="" dxfId="1">
      <formula>"AMARELO"</formula>
    </cfRule>
    <cfRule type="cellIs" priority="4" operator="equal" aboveAverage="0" equalAverage="0" bottom="0" percent="0" rank="0" text="" dxfId="2">
      <formula>"VERMELHO"</formula>
    </cfRule>
  </conditionalFormatting>
  <conditionalFormatting sqref="B19:D19">
    <cfRule type="cellIs" priority="5" operator="equal" aboveAverage="0" equalAverage="0" bottom="0" percent="0" rank="0" text="" dxfId="0">
      <formula>"GO"</formula>
    </cfRule>
    <cfRule type="cellIs" priority="6" operator="equal" aboveAverage="0" equalAverage="0" bottom="0" percent="0" rank="0" text="" dxfId="1">
      <formula>"GO COM RESSALVAS"</formula>
    </cfRule>
    <cfRule type="cellIs" priority="7" operator="equal" aboveAverage="0" equalAverage="0" bottom="0" percent="0" rank="0" text="" dxfId="2">
      <formula>"NO-GO"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8.55" hidden="false" customHeight="false" outlineLevel="0" collapsed="false">
      <c r="A1" s="21" t="s">
        <v>569</v>
      </c>
    </row>
    <row r="2" customFormat="false" ht="15" hidden="false" customHeight="false" outlineLevel="0" collapsed="false">
      <c r="A2" s="2" t="s">
        <v>570</v>
      </c>
    </row>
    <row r="4" customFormat="false" ht="15" hidden="false" customHeight="false" outlineLevel="0" collapsed="false">
      <c r="A4" s="11" t="s">
        <v>571</v>
      </c>
      <c r="B4" s="42" t="s">
        <v>305</v>
      </c>
    </row>
    <row r="5" customFormat="false" ht="15" hidden="false" customHeight="false" outlineLevel="0" collapsed="false">
      <c r="A5" s="6" t="s">
        <v>322</v>
      </c>
      <c r="B5" s="20" t="str">
        <f aca="false">IF('SCORE VIABILIDADE'!$B$4="Conservador","C",IF('SCORE VIABILIDADE'!$B$4="Base","D","E"))</f>
        <v>D</v>
      </c>
    </row>
    <row r="7" customFormat="false" ht="23.85" hidden="false" customHeight="false" outlineLevel="0" collapsed="false">
      <c r="A7" s="22" t="s">
        <v>572</v>
      </c>
      <c r="B7" s="22" t="s">
        <v>573</v>
      </c>
      <c r="C7" s="22" t="s">
        <v>574</v>
      </c>
      <c r="D7" s="22" t="s">
        <v>575</v>
      </c>
      <c r="E7" s="22" t="s">
        <v>576</v>
      </c>
    </row>
    <row r="8" customFormat="false" ht="15" hidden="false" customHeight="false" outlineLevel="0" collapsed="false">
      <c r="A8" s="6" t="s">
        <v>577</v>
      </c>
      <c r="B8" s="28" t="n">
        <v>0.25</v>
      </c>
      <c r="C8" s="28" t="n">
        <v>0.2</v>
      </c>
      <c r="D8" s="27" t="n">
        <f aca="false">INDEX(Cenarios!$M$10:$M$12,MATCH('SCORE VIABILIDADE'!$B$4,Cenarios!$A$10:$A$12,0))</f>
        <v>0.0310188329957752</v>
      </c>
      <c r="E8" s="55" t="n">
        <f aca="false">MIN(100,MAX(0,D8/C8*100))</f>
        <v>15.5094164978876</v>
      </c>
    </row>
    <row r="9" customFormat="false" ht="15" hidden="false" customHeight="false" outlineLevel="0" collapsed="false">
      <c r="A9" s="6" t="s">
        <v>578</v>
      </c>
      <c r="B9" s="28" t="n">
        <v>0.2</v>
      </c>
      <c r="C9" s="28" t="n">
        <v>0.25</v>
      </c>
      <c r="D9" s="27" t="n">
        <f aca="false">INDEX(Cenarios!$T$10:$T$12,MATCH('SCORE VIABILIDADE'!$B$4,Cenarios!$A$10:$A$12,0))</f>
        <v>0.0418405500698438</v>
      </c>
      <c r="E9" s="55" t="n">
        <f aca="false">MIN(100,MAX(0,D9/C9*100))</f>
        <v>16.7362200279375</v>
      </c>
    </row>
    <row r="10" customFormat="false" ht="15" hidden="false" customHeight="false" outlineLevel="0" collapsed="false">
      <c r="A10" s="6" t="s">
        <v>579</v>
      </c>
      <c r="B10" s="28" t="n">
        <v>0.15</v>
      </c>
      <c r="C10" s="28" t="n">
        <v>1</v>
      </c>
      <c r="D10" s="27" t="n">
        <f aca="true">IFERROR(INDIRECT("'ENTRADAS PMO'!"&amp;'SCORE VIABILIDADE'!$B$5&amp;"22")/INDIRECT("'ENTRADAS PMO'!"&amp;'SCORE VIABILIDADE'!$B$5&amp;"24"),1)</f>
        <v>0.47244094488189</v>
      </c>
      <c r="E10" s="55" t="n">
        <f aca="false">MIN(100,MAX(0,D10/C10*100))</f>
        <v>47.244094488189</v>
      </c>
    </row>
    <row r="11" customFormat="false" ht="15" hidden="false" customHeight="false" outlineLevel="0" collapsed="false">
      <c r="A11" s="6" t="s">
        <v>580</v>
      </c>
      <c r="B11" s="28" t="n">
        <v>0.1</v>
      </c>
      <c r="C11" s="28" t="n">
        <v>1</v>
      </c>
      <c r="D11" s="27" t="n">
        <f aca="true">1-(INDEX(Cenarios!$K$10:$K$12,MATCH('SCORE VIABILIDADE'!$B$4,Cenarios!$A$10:$A$12,0))-INDIRECT("'ENTRADAS PMO'!"&amp;'SCORE VIABILIDADE'!$B$5&amp;"22"))/INDEX(Cenarios!$K$10:$K$12,MATCH('SCORE VIABILIDADE'!$B$4,Cenarios!$A$10:$A$12,0))</f>
        <v>0.126104615746089</v>
      </c>
      <c r="E11" s="55" t="n">
        <f aca="false">MIN(100,MAX(0,D11/C11*100))</f>
        <v>12.6104615746089</v>
      </c>
    </row>
    <row r="12" customFormat="false" ht="15" hidden="false" customHeight="false" outlineLevel="0" collapsed="false">
      <c r="A12" s="6" t="s">
        <v>581</v>
      </c>
      <c r="B12" s="28" t="n">
        <v>0.1</v>
      </c>
      <c r="C12" s="28" t="n">
        <v>1</v>
      </c>
      <c r="D12" s="27" t="n">
        <f aca="false">CUSTOS!$C$54/CUSTOS!$C$52</f>
        <v>0</v>
      </c>
      <c r="E12" s="55" t="n">
        <f aca="false">MIN(100,MAX(0,D12/C12*100))</f>
        <v>0</v>
      </c>
    </row>
    <row r="13" customFormat="false" ht="15" hidden="false" customHeight="false" outlineLevel="0" collapsed="false">
      <c r="A13" s="6" t="s">
        <v>582</v>
      </c>
      <c r="B13" s="28" t="n">
        <v>0.05</v>
      </c>
      <c r="C13" s="28" t="n">
        <v>1</v>
      </c>
      <c r="D13" s="27" t="n">
        <f aca="false">IFERROR(1-CUSTOS!H49/CUSTOS!F49,1)</f>
        <v>1</v>
      </c>
      <c r="E13" s="55" t="n">
        <f aca="false">MIN(100,MAX(0,D13/C13*100))</f>
        <v>100</v>
      </c>
    </row>
    <row r="14" customFormat="false" ht="15" hidden="false" customHeight="false" outlineLevel="0" collapsed="false">
      <c r="A14" s="6" t="s">
        <v>583</v>
      </c>
      <c r="B14" s="28" t="n">
        <v>0.1</v>
      </c>
      <c r="C14" s="25" t="n">
        <v>0</v>
      </c>
      <c r="D14" s="26" t="n">
        <f aca="false">RISCOS!$B$32</f>
        <v>1</v>
      </c>
      <c r="E14" s="55" t="n">
        <f aca="false">MAX(0,100-D14*25)</f>
        <v>75</v>
      </c>
    </row>
    <row r="15" customFormat="false" ht="15" hidden="false" customHeight="false" outlineLevel="0" collapsed="false">
      <c r="A15" s="6" t="s">
        <v>584</v>
      </c>
      <c r="B15" s="28" t="n">
        <v>0.05</v>
      </c>
      <c r="C15" s="28" t="n">
        <v>1</v>
      </c>
      <c r="D15" s="27" t="n">
        <f aca="false">1-CHOOSE(MATCH('SCORE VIABILIDADE'!$B$4,{"Conservador";"Base";"Agressivo"},0),'FLUXO DE CAIXA'!$B$62,'FLUXO DE CAIXA'!$B$65,'FLUXO DE CAIXA'!$B$68)/INDEX(Cenarios!$K$10:$K$12,MATCH('SCORE VIABILIDADE'!$B$4,Cenarios!$A$10:$A$12,0))</f>
        <v>0.973761917020174</v>
      </c>
      <c r="E15" s="55" t="n">
        <f aca="false">MIN(100,MAX(0,D15/C15*100))</f>
        <v>97.3761917020174</v>
      </c>
    </row>
    <row r="17" customFormat="false" ht="15" hidden="false" customHeight="false" outlineLevel="0" collapsed="false">
      <c r="A17" s="11" t="s">
        <v>585</v>
      </c>
      <c r="B17" s="27" t="n">
        <f aca="false">SUM(B8:B15)</f>
        <v>1</v>
      </c>
    </row>
    <row r="18" customFormat="false" ht="16.15" hidden="false" customHeight="false" outlineLevel="0" collapsed="false">
      <c r="A18" s="11" t="s">
        <v>586</v>
      </c>
      <c r="B18" s="56" t="n">
        <f aca="false">SUMPRODUCT(B8:B15,E8:E15)</f>
        <v>32.9410680458495</v>
      </c>
    </row>
    <row r="20" customFormat="false" ht="15" hidden="false" customHeight="false" outlineLevel="0" collapsed="false">
      <c r="A20" s="13" t="s">
        <v>587</v>
      </c>
      <c r="B20" s="14"/>
      <c r="C20" s="14"/>
      <c r="D20" s="14"/>
      <c r="E20" s="14"/>
    </row>
    <row r="21" customFormat="false" ht="15" hidden="false" customHeight="false" outlineLevel="0" collapsed="false">
      <c r="A21" s="22" t="s">
        <v>316</v>
      </c>
      <c r="B21" s="22" t="s">
        <v>588</v>
      </c>
      <c r="C21" s="22" t="s">
        <v>589</v>
      </c>
      <c r="D21" s="22"/>
      <c r="E21" s="22"/>
    </row>
    <row r="22" customFormat="false" ht="15" hidden="false" customHeight="false" outlineLevel="0" collapsed="false">
      <c r="A22" s="6" t="s">
        <v>590</v>
      </c>
      <c r="B22" s="57" t="n">
        <v>80</v>
      </c>
      <c r="C22" s="57" t="n">
        <v>100</v>
      </c>
    </row>
    <row r="23" customFormat="false" ht="15" hidden="false" customHeight="false" outlineLevel="0" collapsed="false">
      <c r="A23" s="6" t="s">
        <v>591</v>
      </c>
      <c r="B23" s="57" t="n">
        <v>65</v>
      </c>
      <c r="C23" s="57" t="n">
        <v>79.999</v>
      </c>
    </row>
    <row r="24" customFormat="false" ht="15" hidden="false" customHeight="false" outlineLevel="0" collapsed="false">
      <c r="A24" s="6" t="s">
        <v>592</v>
      </c>
      <c r="B24" s="57" t="n">
        <v>50</v>
      </c>
      <c r="C24" s="57" t="n">
        <v>64.999</v>
      </c>
    </row>
    <row r="25" customFormat="false" ht="15" hidden="false" customHeight="false" outlineLevel="0" collapsed="false">
      <c r="A25" s="6" t="s">
        <v>593</v>
      </c>
      <c r="B25" s="57" t="n">
        <v>0</v>
      </c>
      <c r="C25" s="57" t="n">
        <v>49.999</v>
      </c>
    </row>
    <row r="27" customFormat="false" ht="15" hidden="false" customHeight="false" outlineLevel="0" collapsed="false">
      <c r="A27" s="11" t="s">
        <v>594</v>
      </c>
      <c r="B27" s="58" t="str">
        <f aca="false">IF(B18&gt;=80,"VIÁVEL / GO",IF(B18&gt;=65,"VIÁVEL COM ATENÇÃO",IF(B18&gt;=50,"ALTO RISCO / REAVALIAR","NÃO RECOMENDADO / NO-GO")))</f>
        <v>NÃO RECOMENDADO / NO-GO</v>
      </c>
    </row>
  </sheetData>
  <sheetProtection sheet="true" formatCells="false" formatColumns="false" formatRows="false" sort="false" autoFilter="false"/>
  <conditionalFormatting sqref="B27">
    <cfRule type="cellIs" priority="2" operator="equal" aboveAverage="0" equalAverage="0" bottom="0" percent="0" rank="0" text="" dxfId="0">
      <formula>"VIÁVEL / GO"</formula>
    </cfRule>
    <cfRule type="cellIs" priority="3" operator="equal" aboveAverage="0" equalAverage="0" bottom="0" percent="0" rank="0" text="" dxfId="1">
      <formula>"VIÁVEL COM ATENÇÃO"</formula>
    </cfRule>
    <cfRule type="cellIs" priority="4" operator="equal" aboveAverage="0" equalAverage="0" bottom="0" percent="0" rank="0" text="" dxfId="1">
      <formula>"ALTO RISCO / REAVALIAR"</formula>
    </cfRule>
    <cfRule type="cellIs" priority="5" operator="equal" aboveAverage="0" equalAverage="0" bottom="0" percent="0" rank="0" text="" dxfId="2">
      <formula>"NÃO RECOMENDADO / NO-GO"</formula>
    </cfRule>
  </conditionalFormatting>
  <dataValidations count="1">
    <dataValidation allowBlank="false" errorStyle="stop" operator="between" showDropDown="false" showErrorMessage="false" showInputMessage="false" sqref="B4" type="list">
      <formula1>"Conservador,Base,Agressivo"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21" t="s">
        <v>595</v>
      </c>
    </row>
    <row r="3" customFormat="false" ht="15" hidden="false" customHeight="false" outlineLevel="0" collapsed="false">
      <c r="A3" s="13" t="s">
        <v>596</v>
      </c>
      <c r="B3" s="13"/>
    </row>
    <row r="4" customFormat="false" ht="15" hidden="false" customHeight="true" outlineLevel="0" collapsed="false">
      <c r="A4" s="59" t="s">
        <v>597</v>
      </c>
      <c r="B4" s="60" t="s">
        <v>598</v>
      </c>
    </row>
    <row r="5" customFormat="false" ht="30" hidden="false" customHeight="true" outlineLevel="0" collapsed="false">
      <c r="A5" s="59" t="s">
        <v>597</v>
      </c>
      <c r="B5" s="60" t="s">
        <v>599</v>
      </c>
    </row>
    <row r="6" customFormat="false" ht="30" hidden="false" customHeight="true" outlineLevel="0" collapsed="false">
      <c r="A6" s="59" t="s">
        <v>597</v>
      </c>
      <c r="B6" s="60" t="s">
        <v>600</v>
      </c>
    </row>
    <row r="7" customFormat="false" ht="15" hidden="false" customHeight="true" outlineLevel="0" collapsed="false">
      <c r="A7" s="59" t="s">
        <v>597</v>
      </c>
      <c r="B7" s="60" t="s">
        <v>601</v>
      </c>
    </row>
    <row r="8" customFormat="false" ht="15" hidden="false" customHeight="true" outlineLevel="0" collapsed="false">
      <c r="A8" s="59" t="s">
        <v>597</v>
      </c>
      <c r="B8" s="60" t="s">
        <v>602</v>
      </c>
    </row>
    <row r="9" customFormat="false" ht="15" hidden="false" customHeight="true" outlineLevel="0" collapsed="false">
      <c r="A9" s="59" t="s">
        <v>597</v>
      </c>
      <c r="B9" s="60" t="s">
        <v>603</v>
      </c>
    </row>
    <row r="11" customFormat="false" ht="15" hidden="false" customHeight="false" outlineLevel="0" collapsed="false">
      <c r="A11" s="13" t="s">
        <v>604</v>
      </c>
      <c r="B11" s="13"/>
    </row>
    <row r="12" customFormat="false" ht="90" hidden="false" customHeight="true" outlineLevel="0" collapsed="false">
      <c r="B12" s="60" t="s">
        <v>605</v>
      </c>
    </row>
    <row r="14" customFormat="false" ht="15" hidden="false" customHeight="false" outlineLevel="0" collapsed="false">
      <c r="A14" s="13" t="s">
        <v>606</v>
      </c>
      <c r="B14" s="13"/>
    </row>
    <row r="15" customFormat="false" ht="60" hidden="false" customHeight="true" outlineLevel="0" collapsed="false">
      <c r="B15" s="60" t="s">
        <v>607</v>
      </c>
    </row>
    <row r="16" customFormat="false" ht="60" hidden="false" customHeight="true" outlineLevel="0" collapsed="false">
      <c r="B16" s="60" t="s">
        <v>608</v>
      </c>
    </row>
    <row r="17" customFormat="false" ht="60" hidden="false" customHeight="true" outlineLevel="0" collapsed="false">
      <c r="B17" s="60" t="s">
        <v>609</v>
      </c>
    </row>
    <row r="18" customFormat="false" ht="60" hidden="false" customHeight="true" outlineLevel="0" collapsed="false">
      <c r="B18" s="60" t="s">
        <v>610</v>
      </c>
    </row>
    <row r="19" customFormat="false" ht="60" hidden="false" customHeight="true" outlineLevel="0" collapsed="false">
      <c r="B19" s="60" t="s">
        <v>611</v>
      </c>
    </row>
    <row r="20" customFormat="false" ht="60" hidden="false" customHeight="true" outlineLevel="0" collapsed="false">
      <c r="B20" s="60" t="s">
        <v>612</v>
      </c>
    </row>
    <row r="22" customFormat="false" ht="15" hidden="false" customHeight="false" outlineLevel="0" collapsed="false">
      <c r="A22" s="13" t="s">
        <v>613</v>
      </c>
      <c r="B22" s="13"/>
    </row>
    <row r="23" customFormat="false" ht="15" hidden="false" customHeight="true" outlineLevel="0" collapsed="false">
      <c r="B23" s="61" t="s">
        <v>614</v>
      </c>
    </row>
    <row r="24" customFormat="false" ht="15" hidden="false" customHeight="true" outlineLevel="0" collapsed="false">
      <c r="B24" s="61" t="s">
        <v>615</v>
      </c>
    </row>
    <row r="25" customFormat="false" ht="15" hidden="false" customHeight="true" outlineLevel="0" collapsed="false">
      <c r="B25" s="61" t="s">
        <v>616</v>
      </c>
    </row>
    <row r="26" customFormat="false" ht="15" hidden="false" customHeight="true" outlineLevel="0" collapsed="false">
      <c r="B26" s="61" t="s">
        <v>617</v>
      </c>
    </row>
    <row r="27" customFormat="false" ht="15" hidden="false" customHeight="true" outlineLevel="0" collapsed="false">
      <c r="B27" s="61" t="s">
        <v>618</v>
      </c>
    </row>
    <row r="28" customFormat="false" ht="15" hidden="false" customHeight="true" outlineLevel="0" collapsed="false">
      <c r="B28" s="61" t="s">
        <v>619</v>
      </c>
    </row>
    <row r="29" customFormat="false" ht="15" hidden="false" customHeight="true" outlineLevel="0" collapsed="false">
      <c r="B29" s="61" t="s">
        <v>620</v>
      </c>
    </row>
    <row r="30" customFormat="false" ht="15" hidden="false" customHeight="true" outlineLevel="0" collapsed="false">
      <c r="B30" s="61" t="s">
        <v>621</v>
      </c>
    </row>
    <row r="31" customFormat="false" ht="15" hidden="false" customHeight="true" outlineLevel="0" collapsed="false">
      <c r="B31" s="61" t="s">
        <v>622</v>
      </c>
    </row>
    <row r="32" customFormat="false" ht="15" hidden="false" customHeight="true" outlineLevel="0" collapsed="false">
      <c r="B32" s="61" t="s">
        <v>623</v>
      </c>
    </row>
    <row r="33" customFormat="false" ht="15" hidden="false" customHeight="true" outlineLevel="0" collapsed="false">
      <c r="B33" s="61" t="s">
        <v>624</v>
      </c>
    </row>
    <row r="34" customFormat="false" ht="15" hidden="false" customHeight="true" outlineLevel="0" collapsed="false">
      <c r="B34" s="61" t="s">
        <v>625</v>
      </c>
    </row>
    <row r="35" customFormat="false" ht="15" hidden="false" customHeight="true" outlineLevel="0" collapsed="false">
      <c r="B35" s="61" t="s">
        <v>626</v>
      </c>
    </row>
    <row r="36" customFormat="false" ht="15" hidden="false" customHeight="true" outlineLevel="0" collapsed="false">
      <c r="B36" s="61" t="s">
        <v>627</v>
      </c>
    </row>
    <row r="37" customFormat="false" ht="15" hidden="false" customHeight="true" outlineLevel="0" collapsed="false">
      <c r="B37" s="61" t="s">
        <v>628</v>
      </c>
    </row>
    <row r="38" customFormat="false" ht="15" hidden="false" customHeight="true" outlineLevel="0" collapsed="false">
      <c r="B38" s="61" t="s">
        <v>629</v>
      </c>
    </row>
  </sheetData>
  <mergeCells count="4">
    <mergeCell ref="A3:B3"/>
    <mergeCell ref="A11:B11"/>
    <mergeCell ref="A14:B14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62" t="s">
        <v>630</v>
      </c>
    </row>
    <row r="3" customFormat="false" ht="15" hidden="false" customHeight="false" outlineLevel="0" collapsed="false">
      <c r="A3" s="63" t="s">
        <v>631</v>
      </c>
      <c r="B3" s="63" t="s">
        <v>632</v>
      </c>
      <c r="C3" s="63" t="s">
        <v>633</v>
      </c>
      <c r="D3" s="63" t="s">
        <v>634</v>
      </c>
    </row>
    <row r="4" customFormat="false" ht="15" hidden="false" customHeight="false" outlineLevel="0" collapsed="false">
      <c r="A4" s="6" t="s">
        <v>635</v>
      </c>
      <c r="B4" s="6" t="s">
        <v>636</v>
      </c>
      <c r="C4" s="6" t="s">
        <v>637</v>
      </c>
      <c r="D4" s="6" t="s">
        <v>638</v>
      </c>
    </row>
    <row r="5" customFormat="false" ht="15" hidden="false" customHeight="false" outlineLevel="0" collapsed="false">
      <c r="A5" s="6" t="s">
        <v>639</v>
      </c>
      <c r="B5" s="6" t="s">
        <v>640</v>
      </c>
      <c r="C5" s="6" t="s">
        <v>641</v>
      </c>
      <c r="D5" s="6" t="s">
        <v>642</v>
      </c>
    </row>
    <row r="6" customFormat="false" ht="15" hidden="false" customHeight="false" outlineLevel="0" collapsed="false">
      <c r="A6" s="6" t="s">
        <v>643</v>
      </c>
      <c r="B6" s="6" t="s">
        <v>644</v>
      </c>
      <c r="C6" s="6" t="s">
        <v>645</v>
      </c>
      <c r="D6" s="6" t="s"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2026-09-03T17:01:49Z</dcterms:created>
  <dc:creator>openpyxl</dc:creator>
  <dc:description/>
  <dc:language>en-US</dc:language>
  <cp:lastModifiedBy/>
  <dcterms:modified xsi:type="dcterms:W3CDTF">2026-09-03T17:01:52Z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